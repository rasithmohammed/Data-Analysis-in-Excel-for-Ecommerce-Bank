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EXCEL PROJECTS\"/>
    </mc:Choice>
  </mc:AlternateContent>
  <xr:revisionPtr revIDLastSave="0" documentId="13_ncr:1_{62E6BE03-C63F-4A5F-8A38-C523B151EEDC}" xr6:coauthVersionLast="47" xr6:coauthVersionMax="47" xr10:uidLastSave="{00000000-0000-0000-0000-000000000000}"/>
  <bookViews>
    <workbookView xWindow="-108" yWindow="-108" windowWidth="23256" windowHeight="12456" firstSheet="1" activeTab="9" xr2:uid="{346724B3-1C49-40AE-AA36-C77CF5D6DD09}"/>
  </bookViews>
  <sheets>
    <sheet name="Data" sheetId="1" r:id="rId1"/>
    <sheet name="Questions &amp; KPIs" sheetId="2" r:id="rId2"/>
    <sheet name="Sheet1" sheetId="5" r:id="rId3"/>
    <sheet name="Sheet2" sheetId="6" r:id="rId4"/>
    <sheet name="Sheet3" sheetId="7" r:id="rId5"/>
    <sheet name="Sheet4" sheetId="8" r:id="rId6"/>
    <sheet name="Sheet5" sheetId="9" r:id="rId7"/>
    <sheet name="Sheet6" sheetId="10" r:id="rId8"/>
    <sheet name="Sheet7" sheetId="11" r:id="rId9"/>
    <sheet name="Dashboard" sheetId="3" r:id="rId10"/>
  </sheets>
  <definedNames>
    <definedName name="_xlchart.v5.0" hidden="1">Sheet5!$F$3:$G$3</definedName>
    <definedName name="_xlchart.v5.1" hidden="1">Sheet5!$F$4:$G$61</definedName>
    <definedName name="_xlchart.v5.10" hidden="1">Sheet5!$H$3</definedName>
    <definedName name="_xlchart.v5.11" hidden="1">Sheet5!$H$4:$H$61</definedName>
    <definedName name="_xlchart.v5.12" hidden="1">Sheet5!$F$3:$G$3</definedName>
    <definedName name="_xlchart.v5.13" hidden="1">Sheet5!$F$4:$G$61</definedName>
    <definedName name="_xlchart.v5.14" hidden="1">Sheet5!$H$3</definedName>
    <definedName name="_xlchart.v5.15" hidden="1">Sheet5!$H$4:$H$61</definedName>
    <definedName name="_xlchart.v5.16" hidden="1">Sheet5!$J$3:$K$3</definedName>
    <definedName name="_xlchart.v5.17" hidden="1">Sheet5!$J$4:$K$61</definedName>
    <definedName name="_xlchart.v5.18" hidden="1">Sheet5!$L$3</definedName>
    <definedName name="_xlchart.v5.19" hidden="1">Sheet5!$L$4:$L$61</definedName>
    <definedName name="_xlchart.v5.2" hidden="1">Sheet5!$H$3</definedName>
    <definedName name="_xlchart.v5.3" hidden="1">Sheet5!$H$4:$H$61</definedName>
    <definedName name="_xlchart.v5.4" hidden="1">Sheet5!$J$3:$K$3</definedName>
    <definedName name="_xlchart.v5.5" hidden="1">Sheet5!$J$4:$K$61</definedName>
    <definedName name="_xlchart.v5.6" hidden="1">Sheet5!$L$3</definedName>
    <definedName name="_xlchart.v5.7" hidden="1">Sheet5!$L$4:$L$61</definedName>
    <definedName name="_xlchart.v5.8" hidden="1">Sheet5!$F$3:$G$3</definedName>
    <definedName name="_xlchart.v5.9" hidden="1">Sheet5!$F$4:$G$61</definedName>
    <definedName name="Slicer_Customer_Gender">#N/A</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9" l="1"/>
  <c r="K5" i="9"/>
  <c r="L5" i="9"/>
  <c r="J6" i="9"/>
  <c r="K6" i="9"/>
  <c r="L6" i="9"/>
  <c r="J7" i="9"/>
  <c r="K7" i="9"/>
  <c r="L7" i="9"/>
  <c r="J8" i="9"/>
  <c r="K8" i="9"/>
  <c r="L8" i="9"/>
  <c r="J9" i="9"/>
  <c r="K9" i="9"/>
  <c r="L9" i="9"/>
  <c r="J10" i="9"/>
  <c r="K10" i="9"/>
  <c r="L10" i="9"/>
  <c r="J11" i="9"/>
  <c r="K11" i="9"/>
  <c r="L11" i="9"/>
  <c r="J12" i="9"/>
  <c r="K12" i="9"/>
  <c r="L12" i="9"/>
  <c r="J13" i="9"/>
  <c r="K13" i="9"/>
  <c r="L13" i="9"/>
  <c r="J14" i="9"/>
  <c r="K14" i="9"/>
  <c r="L14" i="9"/>
  <c r="J15" i="9"/>
  <c r="K15" i="9"/>
  <c r="L15" i="9"/>
  <c r="J16" i="9"/>
  <c r="K16" i="9"/>
  <c r="L16" i="9"/>
  <c r="J17" i="9"/>
  <c r="K17" i="9"/>
  <c r="L17" i="9"/>
  <c r="J18" i="9"/>
  <c r="K18" i="9"/>
  <c r="L18" i="9"/>
  <c r="J19" i="9"/>
  <c r="K19" i="9"/>
  <c r="L19" i="9"/>
  <c r="J20" i="9"/>
  <c r="K20" i="9"/>
  <c r="L20" i="9"/>
  <c r="J21" i="9"/>
  <c r="K21" i="9"/>
  <c r="L21" i="9"/>
  <c r="J22" i="9"/>
  <c r="K22" i="9"/>
  <c r="L22" i="9"/>
  <c r="J23" i="9"/>
  <c r="K23" i="9"/>
  <c r="L23" i="9"/>
  <c r="J24" i="9"/>
  <c r="K24" i="9"/>
  <c r="L24" i="9"/>
  <c r="J25" i="9"/>
  <c r="K25" i="9"/>
  <c r="L25" i="9"/>
  <c r="J26" i="9"/>
  <c r="K26" i="9"/>
  <c r="L26" i="9"/>
  <c r="J27" i="9"/>
  <c r="K27" i="9"/>
  <c r="L27" i="9"/>
  <c r="J28" i="9"/>
  <c r="K28" i="9"/>
  <c r="L28" i="9"/>
  <c r="J29" i="9"/>
  <c r="K29" i="9"/>
  <c r="L29" i="9"/>
  <c r="J30" i="9"/>
  <c r="K30" i="9"/>
  <c r="L30" i="9"/>
  <c r="J31" i="9"/>
  <c r="K31" i="9"/>
  <c r="L31" i="9"/>
  <c r="J32" i="9"/>
  <c r="K32" i="9"/>
  <c r="L32" i="9"/>
  <c r="J33" i="9"/>
  <c r="K33" i="9"/>
  <c r="L33" i="9"/>
  <c r="J34" i="9"/>
  <c r="K34" i="9"/>
  <c r="L34" i="9"/>
  <c r="J35" i="9"/>
  <c r="K35" i="9"/>
  <c r="L35" i="9"/>
  <c r="J36" i="9"/>
  <c r="K36" i="9"/>
  <c r="L36" i="9"/>
  <c r="J37" i="9"/>
  <c r="K37" i="9"/>
  <c r="L37" i="9"/>
  <c r="J38" i="9"/>
  <c r="K38" i="9"/>
  <c r="L38" i="9"/>
  <c r="J39" i="9"/>
  <c r="K39" i="9"/>
  <c r="L39" i="9"/>
  <c r="J40" i="9"/>
  <c r="K40" i="9"/>
  <c r="L40" i="9"/>
  <c r="J41" i="9"/>
  <c r="K41" i="9"/>
  <c r="L41" i="9"/>
  <c r="J42" i="9"/>
  <c r="K42" i="9"/>
  <c r="L42" i="9"/>
  <c r="J43" i="9"/>
  <c r="K43" i="9"/>
  <c r="L43" i="9"/>
  <c r="J44" i="9"/>
  <c r="K44" i="9"/>
  <c r="L44" i="9"/>
  <c r="J45" i="9"/>
  <c r="K45" i="9"/>
  <c r="L45" i="9"/>
  <c r="J46" i="9"/>
  <c r="K46" i="9"/>
  <c r="L46" i="9"/>
  <c r="J47" i="9"/>
  <c r="K47" i="9"/>
  <c r="L47" i="9"/>
  <c r="J48" i="9"/>
  <c r="K48" i="9"/>
  <c r="L48" i="9"/>
  <c r="J49" i="9"/>
  <c r="K49" i="9"/>
  <c r="L49" i="9"/>
  <c r="J50" i="9"/>
  <c r="K50" i="9"/>
  <c r="L50" i="9"/>
  <c r="J51" i="9"/>
  <c r="K51" i="9"/>
  <c r="L51" i="9"/>
  <c r="J52" i="9"/>
  <c r="K52" i="9"/>
  <c r="L52" i="9"/>
  <c r="J53" i="9"/>
  <c r="K53" i="9"/>
  <c r="L53" i="9"/>
  <c r="J54" i="9"/>
  <c r="K54" i="9"/>
  <c r="L54" i="9"/>
  <c r="J55" i="9"/>
  <c r="K55" i="9"/>
  <c r="L55" i="9"/>
  <c r="J56" i="9"/>
  <c r="K56" i="9"/>
  <c r="L56" i="9"/>
  <c r="J57" i="9"/>
  <c r="K57" i="9"/>
  <c r="L57" i="9"/>
  <c r="J58" i="9"/>
  <c r="K58" i="9"/>
  <c r="L58" i="9"/>
  <c r="J59" i="9"/>
  <c r="K59" i="9"/>
  <c r="L59" i="9"/>
  <c r="J60" i="9"/>
  <c r="K60" i="9"/>
  <c r="L60" i="9"/>
  <c r="J61" i="9"/>
  <c r="K61" i="9"/>
  <c r="L61" i="9"/>
  <c r="K4" i="9"/>
  <c r="L4" i="9"/>
  <c r="J4" i="9"/>
  <c r="F5" i="9"/>
  <c r="G5" i="9"/>
  <c r="H5" i="9"/>
  <c r="F6" i="9"/>
  <c r="G6" i="9"/>
  <c r="H6" i="9"/>
  <c r="F7" i="9"/>
  <c r="G7" i="9"/>
  <c r="H7" i="9"/>
  <c r="F8" i="9"/>
  <c r="G8" i="9"/>
  <c r="H8" i="9"/>
  <c r="F9" i="9"/>
  <c r="G9" i="9"/>
  <c r="H9" i="9"/>
  <c r="F10" i="9"/>
  <c r="G10" i="9"/>
  <c r="H10" i="9"/>
  <c r="F11" i="9"/>
  <c r="G11" i="9"/>
  <c r="H11" i="9"/>
  <c r="F12" i="9"/>
  <c r="G12" i="9"/>
  <c r="H12" i="9"/>
  <c r="F13" i="9"/>
  <c r="G13" i="9"/>
  <c r="H13" i="9"/>
  <c r="F14" i="9"/>
  <c r="G14" i="9"/>
  <c r="H14" i="9"/>
  <c r="F15" i="9"/>
  <c r="G15" i="9"/>
  <c r="H15" i="9"/>
  <c r="F16" i="9"/>
  <c r="G16" i="9"/>
  <c r="H16" i="9"/>
  <c r="F17" i="9"/>
  <c r="G17" i="9"/>
  <c r="H17" i="9"/>
  <c r="F18" i="9"/>
  <c r="G18" i="9"/>
  <c r="H18" i="9"/>
  <c r="F19" i="9"/>
  <c r="G19" i="9"/>
  <c r="H19" i="9"/>
  <c r="F20" i="9"/>
  <c r="G20" i="9"/>
  <c r="H20" i="9"/>
  <c r="F21" i="9"/>
  <c r="G21" i="9"/>
  <c r="H21" i="9"/>
  <c r="F22" i="9"/>
  <c r="G22" i="9"/>
  <c r="H22" i="9"/>
  <c r="F23" i="9"/>
  <c r="G23" i="9"/>
  <c r="H23" i="9"/>
  <c r="F24" i="9"/>
  <c r="G24" i="9"/>
  <c r="H24" i="9"/>
  <c r="F25" i="9"/>
  <c r="G25" i="9"/>
  <c r="H25" i="9"/>
  <c r="F26" i="9"/>
  <c r="G26" i="9"/>
  <c r="H26" i="9"/>
  <c r="F27" i="9"/>
  <c r="G27" i="9"/>
  <c r="H27" i="9"/>
  <c r="F28" i="9"/>
  <c r="G28" i="9"/>
  <c r="H28" i="9"/>
  <c r="F29" i="9"/>
  <c r="G29" i="9"/>
  <c r="H29" i="9"/>
  <c r="F30" i="9"/>
  <c r="G30" i="9"/>
  <c r="H30" i="9"/>
  <c r="F31" i="9"/>
  <c r="G31" i="9"/>
  <c r="H31" i="9"/>
  <c r="F32" i="9"/>
  <c r="G32" i="9"/>
  <c r="H32" i="9"/>
  <c r="F33" i="9"/>
  <c r="G33" i="9"/>
  <c r="H33" i="9"/>
  <c r="F34" i="9"/>
  <c r="G34" i="9"/>
  <c r="H34" i="9"/>
  <c r="F35" i="9"/>
  <c r="G35" i="9"/>
  <c r="H35" i="9"/>
  <c r="F36" i="9"/>
  <c r="G36" i="9"/>
  <c r="H36" i="9"/>
  <c r="F37" i="9"/>
  <c r="G37" i="9"/>
  <c r="H37" i="9"/>
  <c r="F38" i="9"/>
  <c r="G38" i="9"/>
  <c r="H38" i="9"/>
  <c r="F39" i="9"/>
  <c r="G39" i="9"/>
  <c r="H39" i="9"/>
  <c r="F40" i="9"/>
  <c r="G40" i="9"/>
  <c r="H40" i="9"/>
  <c r="F41" i="9"/>
  <c r="G41" i="9"/>
  <c r="H41" i="9"/>
  <c r="F42" i="9"/>
  <c r="G42" i="9"/>
  <c r="H42" i="9"/>
  <c r="F43" i="9"/>
  <c r="G43" i="9"/>
  <c r="H43" i="9"/>
  <c r="F44" i="9"/>
  <c r="G44" i="9"/>
  <c r="H44" i="9"/>
  <c r="F45" i="9"/>
  <c r="G45" i="9"/>
  <c r="H45" i="9"/>
  <c r="F46" i="9"/>
  <c r="G46" i="9"/>
  <c r="H46" i="9"/>
  <c r="F47" i="9"/>
  <c r="G47" i="9"/>
  <c r="H47" i="9"/>
  <c r="F48" i="9"/>
  <c r="G48" i="9"/>
  <c r="H48" i="9"/>
  <c r="F49" i="9"/>
  <c r="G49" i="9"/>
  <c r="H49" i="9"/>
  <c r="F50" i="9"/>
  <c r="G50" i="9"/>
  <c r="H50" i="9"/>
  <c r="F51" i="9"/>
  <c r="G51" i="9"/>
  <c r="H51" i="9"/>
  <c r="F52" i="9"/>
  <c r="G52" i="9"/>
  <c r="H52" i="9"/>
  <c r="F53" i="9"/>
  <c r="G53" i="9"/>
  <c r="H53" i="9"/>
  <c r="F54" i="9"/>
  <c r="G54" i="9"/>
  <c r="H54" i="9"/>
  <c r="F55" i="9"/>
  <c r="G55" i="9"/>
  <c r="H55" i="9"/>
  <c r="F56" i="9"/>
  <c r="G56" i="9"/>
  <c r="H56" i="9"/>
  <c r="F57" i="9"/>
  <c r="G57" i="9"/>
  <c r="H57" i="9"/>
  <c r="F58" i="9"/>
  <c r="G58" i="9"/>
  <c r="H58" i="9"/>
  <c r="F59" i="9"/>
  <c r="G59" i="9"/>
  <c r="H59" i="9"/>
  <c r="F60" i="9"/>
  <c r="G60" i="9"/>
  <c r="H60" i="9"/>
  <c r="F61" i="9"/>
  <c r="G61" i="9"/>
  <c r="H61" i="9"/>
  <c r="G4" i="9"/>
  <c r="H4" i="9"/>
  <c r="F4" i="9"/>
  <c r="L3" i="9"/>
  <c r="K3" i="9"/>
  <c r="J3" i="9"/>
  <c r="G3" i="9"/>
  <c r="H3" i="9"/>
  <c r="F3" i="9"/>
  <c r="C14" i="6"/>
  <c r="D14" i="6"/>
  <c r="E14" i="6"/>
  <c r="B14" i="6"/>
  <c r="B15" i="6"/>
  <c r="C15" i="6"/>
  <c r="D15" i="6"/>
  <c r="E15" i="6"/>
  <c r="B16" i="6"/>
  <c r="C16" i="6"/>
  <c r="D16" i="6"/>
  <c r="E16" i="6"/>
  <c r="B17" i="6"/>
  <c r="C17" i="6"/>
  <c r="D17" i="6"/>
  <c r="E17" i="6"/>
  <c r="B18" i="6"/>
  <c r="C18" i="6"/>
  <c r="D18" i="6"/>
  <c r="E18" i="6"/>
  <c r="A16" i="6"/>
  <c r="A17" i="6"/>
  <c r="A18" i="6"/>
  <c r="A15" i="6"/>
  <c r="J4" i="5"/>
  <c r="I4" i="5"/>
  <c r="H4" i="5"/>
  <c r="K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<sst xmlns="http://schemas.openxmlformats.org/spreadsheetml/2006/main" count="14632" uniqueCount="2542">
  <si>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</si>
  <si>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</si>
  <si>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</si>
  <si>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</si>
  <si>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</si>
  <si>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</si>
  <si>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</si>
  <si>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</si>
  <si>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</si>
  <si>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</si>
  <si>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</si>
  <si>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</si>
  <si>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</si>
  <si>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</si>
  <si>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</si>
  <si>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</si>
  <si>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</si>
  <si>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</si>
  <si>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</si>
  <si>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</si>
  <si>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</si>
  <si>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</si>
  <si>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</si>
  <si>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</si>
  <si>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</si>
  <si>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</si>
  <si>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</si>
  <si>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</si>
  <si>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</si>
  <si>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</si>
  <si>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</si>
  <si>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</si>
  <si>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</si>
  <si>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</si>
  <si>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</si>
  <si>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</si>
  <si>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</si>
  <si>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</si>
  <si>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</si>
  <si>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</si>
  <si>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</si>
  <si>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</si>
  <si>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</si>
  <si>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</si>
  <si>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</si>
  <si>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</si>
  <si>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</si>
  <si>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</si>
  <si>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</si>
  <si>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</si>
  <si>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</si>
  <si>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</si>
  <si>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</si>
  <si>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</si>
  <si>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</si>
  <si>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</si>
  <si>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</si>
  <si>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</si>
  <si>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</si>
  <si>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</si>
  <si>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</si>
  <si>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</si>
  <si>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</si>
  <si>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</si>
  <si>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</si>
  <si>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</si>
  <si>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</si>
  <si>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</si>
  <si>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</si>
  <si>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</si>
  <si>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</si>
  <si>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</si>
  <si>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</si>
  <si>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</si>
  <si>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</si>
  <si>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</si>
  <si>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</si>
  <si>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</si>
  <si>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</si>
  <si>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</si>
  <si>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</si>
  <si>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</si>
  <si>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</si>
  <si>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</si>
  <si>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</si>
  <si>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</si>
  <si>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</si>
  <si>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</si>
  <si>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</si>
  <si>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</si>
  <si>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</si>
  <si>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</si>
  <si>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</si>
  <si>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</si>
  <si>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</si>
  <si>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</si>
  <si>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</si>
  <si>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</si>
  <si>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</si>
  <si>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</si>
  <si>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</si>
  <si>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</si>
  <si>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</si>
  <si>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</si>
  <si>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</si>
  <si>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</si>
  <si>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</si>
  <si>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</si>
  <si>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</si>
  <si>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</si>
  <si>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</si>
  <si>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</si>
  <si>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</si>
  <si>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</si>
  <si>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</si>
  <si>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</si>
  <si>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</si>
  <si>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</si>
  <si>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</si>
  <si>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</si>
  <si>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</si>
  <si>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</si>
  <si>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</si>
  <si>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</si>
  <si>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</si>
  <si>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</si>
  <si>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</si>
  <si>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</si>
  <si>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</si>
  <si>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</si>
  <si>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</si>
  <si>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</si>
  <si>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</si>
  <si>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</si>
  <si>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</si>
  <si>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</si>
  <si>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</si>
  <si>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</si>
  <si>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</si>
  <si>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</si>
  <si>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</si>
  <si>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</si>
  <si>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</si>
  <si>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</si>
  <si>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</si>
  <si>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</si>
  <si>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</si>
  <si>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</si>
  <si>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</si>
  <si>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</si>
  <si>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</si>
  <si>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</si>
  <si>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</si>
  <si>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</si>
  <si>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</si>
  <si>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</si>
  <si>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</si>
  <si>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</si>
  <si>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</si>
  <si>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</si>
  <si>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</si>
  <si>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</si>
  <si>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</si>
  <si>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</si>
  <si>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</si>
  <si>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</si>
  <si>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</si>
  <si>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</si>
  <si>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</si>
  <si>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</si>
  <si>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</si>
  <si>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</si>
  <si>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</si>
  <si>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</si>
  <si>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</si>
  <si>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</si>
  <si>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</si>
  <si>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</si>
  <si>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</si>
  <si>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</si>
  <si>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</si>
  <si>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</si>
  <si>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</si>
  <si>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</si>
  <si>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</si>
  <si>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</si>
  <si>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</si>
  <si>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</si>
  <si>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</si>
  <si>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</si>
  <si>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</si>
  <si>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</si>
  <si>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</si>
  <si>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</si>
  <si>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</si>
  <si>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</si>
  <si>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</si>
  <si>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</si>
  <si>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</si>
  <si>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</si>
  <si>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</si>
  <si>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</si>
  <si>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</si>
  <si>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</si>
  <si>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</si>
  <si>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</si>
  <si>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</si>
  <si>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</si>
  <si>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</si>
  <si>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</si>
  <si>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</si>
  <si>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</si>
  <si>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</si>
  <si>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</si>
  <si>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</si>
  <si>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</si>
  <si>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</si>
  <si>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</si>
  <si>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</si>
  <si>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</si>
  <si>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</si>
  <si>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</si>
  <si>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</si>
  <si>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</si>
  <si>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</si>
  <si>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</si>
  <si>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</si>
  <si>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</si>
  <si>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</si>
  <si>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</si>
  <si>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</si>
  <si>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</si>
  <si>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</si>
  <si>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</si>
  <si>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</si>
  <si>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</si>
  <si>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</si>
  <si>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</si>
  <si>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</si>
  <si>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</si>
  <si>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</si>
  <si>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</si>
  <si>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</si>
  <si>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</si>
  <si>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</si>
  <si>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</si>
  <si>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</si>
  <si>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</si>
  <si>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</si>
  <si>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</si>
  <si>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</si>
  <si>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</si>
  <si>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</si>
  <si>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</si>
  <si>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</si>
  <si>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</si>
  <si>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</si>
  <si>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</si>
  <si>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</si>
  <si>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</si>
  <si>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</si>
  <si>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</si>
  <si>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</si>
  <si>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</si>
  <si>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</si>
  <si>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</si>
  <si>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</si>
  <si>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</si>
  <si>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</si>
  <si>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</si>
  <si>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</si>
  <si>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</si>
  <si>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</si>
  <si>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</si>
  <si>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</si>
  <si>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</si>
  <si>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</si>
  <si>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</si>
  <si>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</si>
  <si>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</si>
  <si>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</si>
  <si>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</si>
  <si>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</si>
  <si>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</si>
  <si>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</si>
  <si>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</si>
  <si>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</si>
  <si>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</si>
  <si>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</si>
  <si>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</si>
  <si>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</si>
  <si>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</si>
  <si>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</si>
  <si>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</si>
  <si>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</si>
  <si>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</si>
  <si>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</si>
  <si>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</si>
  <si>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</si>
  <si>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</si>
  <si>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</si>
  <si>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</si>
  <si>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</si>
  <si>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</si>
  <si>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</si>
  <si>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</si>
  <si>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</si>
  <si>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</si>
  <si>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</si>
  <si>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</si>
  <si>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</si>
  <si>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</si>
  <si>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</si>
  <si>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</si>
  <si>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</si>
  <si>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</si>
  <si>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</si>
  <si>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</si>
  <si>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</si>
  <si>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</si>
  <si>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</si>
  <si>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</si>
  <si>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</si>
  <si>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</si>
  <si>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</si>
  <si>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</si>
  <si>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</si>
  <si>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</si>
  <si>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</si>
  <si>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</si>
  <si>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</si>
  <si>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</si>
  <si>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</si>
  <si>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</si>
  <si>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</si>
  <si>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</si>
  <si>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</si>
  <si>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</si>
  <si>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</si>
  <si>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</si>
  <si>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</si>
  <si>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</si>
  <si>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</si>
  <si>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</si>
  <si>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</si>
  <si>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</si>
  <si>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</si>
  <si>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</si>
  <si>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</si>
  <si>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</si>
  <si>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</si>
  <si>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</si>
  <si>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</si>
  <si>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</si>
  <si>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</si>
  <si>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</si>
  <si>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</si>
  <si>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</si>
  <si>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</si>
  <si>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</si>
  <si>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</si>
  <si>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</si>
  <si>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</si>
  <si>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</si>
  <si>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</si>
  <si>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</si>
  <si>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</si>
  <si>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</si>
  <si>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</si>
  <si>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</si>
  <si>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</si>
  <si>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</si>
  <si>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</si>
  <si>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</si>
  <si>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</si>
  <si>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</si>
  <si>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</si>
  <si>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</si>
  <si>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</si>
  <si>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</si>
  <si>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</si>
  <si>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</si>
  <si>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</si>
  <si>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</si>
  <si>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</si>
  <si>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</si>
  <si>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</si>
  <si>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</si>
  <si>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</si>
  <si>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</si>
  <si>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</si>
  <si>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</si>
  <si>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</si>
  <si>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</si>
  <si>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</si>
  <si>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</si>
  <si>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</si>
  <si>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</si>
  <si>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</si>
  <si>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</si>
  <si>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</si>
  <si>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</si>
  <si>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</si>
  <si>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</si>
  <si>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</si>
  <si>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</si>
  <si>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</si>
  <si>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</si>
  <si>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</si>
  <si>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</si>
  <si>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</si>
  <si>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</si>
  <si>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</si>
  <si>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</si>
  <si>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</si>
  <si>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</si>
  <si>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</si>
  <si>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</si>
  <si>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</si>
  <si>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</si>
  <si>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</si>
  <si>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</si>
  <si>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</si>
  <si>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</si>
  <si>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</si>
  <si>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</si>
  <si>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</si>
  <si>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</si>
  <si>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</si>
  <si>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</si>
  <si>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</si>
  <si>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</si>
  <si>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</si>
  <si>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</si>
  <si>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</si>
  <si>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</si>
  <si>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</si>
  <si>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</si>
  <si>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</si>
  <si>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</si>
  <si>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</si>
  <si>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</si>
  <si>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</si>
  <si>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</si>
  <si>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</si>
  <si>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</si>
  <si>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</si>
  <si>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</si>
  <si>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</si>
  <si>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</si>
  <si>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</si>
  <si>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</si>
  <si>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</si>
  <si>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</si>
  <si>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</si>
  <si>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</si>
  <si>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</si>
  <si>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</si>
  <si>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</si>
  <si>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</si>
  <si>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</si>
  <si>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</si>
  <si>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</si>
  <si>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</si>
  <si>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</si>
  <si>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</si>
  <si>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</si>
  <si>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</si>
  <si>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</si>
  <si>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</si>
  <si>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</si>
  <si>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</si>
  <si>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</si>
  <si>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</si>
  <si>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</si>
  <si>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</si>
  <si>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</si>
  <si>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</si>
  <si>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</si>
  <si>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</si>
  <si>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</si>
  <si>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</si>
  <si>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</si>
  <si>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</si>
  <si>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</si>
  <si>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</si>
  <si>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</si>
  <si>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</si>
  <si>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</si>
  <si>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</si>
  <si>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</si>
  <si>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</si>
  <si>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</si>
  <si>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</si>
  <si>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</si>
  <si>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</si>
  <si>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</si>
  <si>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</si>
  <si>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</si>
  <si>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</si>
  <si>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</si>
  <si>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</si>
  <si>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</si>
  <si>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</si>
  <si>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</si>
  <si>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</si>
  <si>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</si>
  <si>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</si>
  <si>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</si>
  <si>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</si>
  <si>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</si>
  <si>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</si>
  <si>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</si>
  <si>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</si>
  <si>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</si>
  <si>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</si>
  <si>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</si>
  <si>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</si>
  <si>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</si>
  <si>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</si>
  <si>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</si>
  <si>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</si>
  <si>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</si>
  <si>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</si>
  <si>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</si>
  <si>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</si>
  <si>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</si>
  <si>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</si>
  <si>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</si>
  <si>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</si>
  <si>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</si>
  <si>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</si>
  <si>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</si>
  <si>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</si>
  <si>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</si>
  <si>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</si>
  <si>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</si>
  <si>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</si>
  <si>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</si>
  <si>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</si>
  <si>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</si>
  <si>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</si>
  <si>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</si>
  <si>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</si>
  <si>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</si>
  <si>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</si>
  <si>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</si>
  <si>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</si>
  <si>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</si>
  <si>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</si>
  <si>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</si>
  <si>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</si>
  <si>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</si>
  <si>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</si>
  <si>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</si>
  <si>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</si>
  <si>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</si>
  <si>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</si>
  <si>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</si>
  <si>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</si>
  <si>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</si>
  <si>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</si>
  <si>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</si>
  <si>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</si>
  <si>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</si>
  <si>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</si>
  <si>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</si>
  <si>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</si>
  <si>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</si>
  <si>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</si>
  <si>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</si>
  <si>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</si>
  <si>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</si>
  <si>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</si>
  <si>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</si>
  <si>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</si>
  <si>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</si>
  <si>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</si>
  <si>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</si>
  <si>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</si>
  <si>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</si>
  <si>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</si>
  <si>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</si>
  <si>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</si>
  <si>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</si>
  <si>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</si>
  <si>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</si>
  <si>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</si>
  <si>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</si>
  <si>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</si>
  <si>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</si>
  <si>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</si>
  <si>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</si>
  <si>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</si>
  <si>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</si>
  <si>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</si>
  <si>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</si>
  <si>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</si>
  <si>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</si>
  <si>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</si>
  <si>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</si>
  <si>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</si>
  <si>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</si>
  <si>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</si>
  <si>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</si>
  <si>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</si>
  <si>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</si>
  <si>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</si>
  <si>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</si>
  <si>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</si>
  <si>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</si>
  <si>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</si>
  <si>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</si>
  <si>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</si>
  <si>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</si>
  <si>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</si>
  <si>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</si>
  <si>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</si>
  <si>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</si>
  <si>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</si>
  <si>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</si>
  <si>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</si>
  <si>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</si>
  <si>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</si>
  <si>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</si>
  <si>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</si>
  <si>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</si>
  <si>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</si>
  <si>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</si>
  <si>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</si>
  <si>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</si>
  <si>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</si>
  <si>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</si>
  <si>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</si>
  <si>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</si>
  <si>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</si>
  <si>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</si>
  <si>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</si>
  <si>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</si>
  <si>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</si>
  <si>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</si>
  <si>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</si>
  <si>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</si>
  <si>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</si>
  <si>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</si>
  <si>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</si>
  <si>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</si>
  <si>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</si>
  <si>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</si>
  <si>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</si>
  <si>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</si>
  <si>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</si>
  <si>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</si>
  <si>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</si>
  <si>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</si>
  <si>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</si>
  <si>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</si>
  <si>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</si>
  <si>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</si>
  <si>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</si>
  <si>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</si>
  <si>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</si>
  <si>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</si>
  <si>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</si>
  <si>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</si>
  <si>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</si>
  <si>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</si>
  <si>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</si>
  <si>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</si>
  <si>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</si>
  <si>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</si>
  <si>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</si>
  <si>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</si>
  <si>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</si>
  <si>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</si>
  <si>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</si>
  <si>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</si>
  <si>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</si>
  <si>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</si>
  <si>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</si>
  <si>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</si>
  <si>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</si>
  <si>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</si>
  <si>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</si>
  <si>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</si>
  <si>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</si>
  <si>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</si>
  <si>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</si>
  <si>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</si>
  <si>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</si>
  <si>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</si>
  <si>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</si>
  <si>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</si>
  <si>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</si>
  <si>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</si>
  <si>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</si>
  <si>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</si>
  <si>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</si>
  <si>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</si>
  <si>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</si>
  <si>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</si>
  <si>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</si>
  <si>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</si>
  <si>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</si>
  <si>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</si>
  <si>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</si>
  <si>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</si>
  <si>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</si>
  <si>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</si>
  <si>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</si>
  <si>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</si>
  <si>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</si>
  <si>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</si>
  <si>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</si>
  <si>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</si>
  <si>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</si>
  <si>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</si>
  <si>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</si>
  <si>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</si>
  <si>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</si>
  <si>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</si>
  <si>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</si>
  <si>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</si>
  <si>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</si>
  <si>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</si>
  <si>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</si>
  <si>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</si>
  <si>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</si>
  <si>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</si>
  <si>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</si>
  <si>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</si>
  <si>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</si>
  <si>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</si>
  <si>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</si>
  <si>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</si>
  <si>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</si>
  <si>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</si>
  <si>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</si>
  <si>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</si>
  <si>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</si>
  <si>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</si>
  <si>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</si>
  <si>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</si>
  <si>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</si>
  <si>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</si>
  <si>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</si>
  <si>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</si>
  <si>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</si>
  <si>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</si>
  <si>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</si>
  <si>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</si>
  <si>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</si>
  <si>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</si>
  <si>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</si>
  <si>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</si>
  <si>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</si>
  <si>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</si>
  <si>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</si>
  <si>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</si>
  <si>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</si>
  <si>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</si>
  <si>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</si>
  <si>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</si>
  <si>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</si>
  <si>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</si>
  <si>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</si>
  <si>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</si>
  <si>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</si>
  <si>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</si>
  <si>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</si>
  <si>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</si>
  <si>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</si>
  <si>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</si>
  <si>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</si>
  <si>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</si>
  <si>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</si>
  <si>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</si>
  <si>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</si>
  <si>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</si>
  <si>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</si>
  <si>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</si>
  <si>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</si>
  <si>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</si>
  <si>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</si>
  <si>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</si>
  <si>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</si>
  <si>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</si>
  <si>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</si>
  <si>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</si>
  <si>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</si>
  <si>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</si>
  <si>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</si>
  <si>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</si>
  <si>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</si>
  <si>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</si>
  <si>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</si>
  <si>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</si>
  <si>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</si>
  <si>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</si>
  <si>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</si>
  <si>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</si>
  <si>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</si>
  <si>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</si>
  <si>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</si>
  <si>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</si>
  <si>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</si>
  <si>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</si>
  <si>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</si>
  <si>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</si>
  <si>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</si>
  <si>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</si>
  <si>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</si>
  <si>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</si>
  <si>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</si>
  <si>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</si>
  <si>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</si>
  <si>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</si>
  <si>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</si>
  <si>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</si>
  <si>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</si>
  <si>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</si>
  <si>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</si>
  <si>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</si>
  <si>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</si>
  <si>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</si>
  <si>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</si>
  <si>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</si>
  <si>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</si>
  <si>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</si>
  <si>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</si>
  <si>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</si>
  <si>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</si>
  <si>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</si>
  <si>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</si>
  <si>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</si>
  <si>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</si>
  <si>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</si>
  <si>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</si>
  <si>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</si>
  <si>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</si>
  <si>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</si>
  <si>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</si>
  <si>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</si>
  <si>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</si>
  <si>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</si>
  <si>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</si>
  <si>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</si>
  <si>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</si>
  <si>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</si>
  <si>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</si>
  <si>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</si>
  <si>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</si>
  <si>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</si>
  <si>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</si>
  <si>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</si>
  <si>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</si>
  <si>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</si>
  <si>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</si>
  <si>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</si>
  <si>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</si>
  <si>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</si>
  <si>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</si>
  <si>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</si>
  <si>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</si>
  <si>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</si>
  <si>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</si>
  <si>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</si>
  <si>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</si>
  <si>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</si>
  <si>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</si>
  <si>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</si>
  <si>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</si>
  <si>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</si>
  <si>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</si>
  <si>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</si>
  <si>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</si>
  <si>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</si>
  <si>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</si>
  <si>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</si>
  <si>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</si>
  <si>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</si>
  <si>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</si>
  <si>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</si>
  <si>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</si>
  <si>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</si>
  <si>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</si>
  <si>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</si>
  <si>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</si>
  <si>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</si>
  <si>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</si>
  <si>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</si>
  <si>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</si>
  <si>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</si>
  <si>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</si>
  <si>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</si>
  <si>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</si>
  <si>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</si>
  <si>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</si>
  <si>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</si>
  <si>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</si>
  <si>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</si>
  <si>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</si>
  <si>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</si>
  <si>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</si>
  <si>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</si>
  <si>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</si>
  <si>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</si>
  <si>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</si>
  <si>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</si>
  <si>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</si>
  <si>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</si>
  <si>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</si>
  <si>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</si>
  <si>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</si>
  <si>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</si>
  <si>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</si>
  <si>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</si>
  <si>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</si>
  <si>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</si>
  <si>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</si>
  <si>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</si>
  <si>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</si>
  <si>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</si>
  <si>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</si>
  <si>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</si>
  <si>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</si>
  <si>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</si>
  <si>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</si>
  <si>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</si>
  <si>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</si>
  <si>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</si>
  <si>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</si>
  <si>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</si>
  <si>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</si>
  <si>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</si>
  <si>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</si>
  <si>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</si>
  <si>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</si>
  <si>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</si>
  <si>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</si>
  <si>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</si>
  <si>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</si>
  <si>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</si>
  <si>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</si>
  <si>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</si>
  <si>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</si>
  <si>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</si>
  <si>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</si>
  <si>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</si>
  <si>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</si>
  <si>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</si>
  <si>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</si>
  <si>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</si>
  <si>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</si>
  <si>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</si>
  <si>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</si>
  <si>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</si>
  <si>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</si>
  <si>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</si>
  <si>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</si>
  <si>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</si>
  <si>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</si>
  <si>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</si>
  <si>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</si>
  <si>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</si>
  <si>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</si>
  <si>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</si>
  <si>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</si>
  <si>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</si>
  <si>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</si>
  <si>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</si>
  <si>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</si>
  <si>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</si>
  <si>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</si>
  <si>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</si>
  <si>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</si>
  <si>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</si>
  <si>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</si>
  <si>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</si>
  <si>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</si>
  <si>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</si>
  <si>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</si>
  <si>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</si>
  <si>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</si>
  <si>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</si>
  <si>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</si>
  <si>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</si>
  <si>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</si>
  <si>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</si>
  <si>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</si>
  <si>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</si>
  <si>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</si>
  <si>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</si>
  <si>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</si>
  <si>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</si>
  <si>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</si>
  <si>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</si>
  <si>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</si>
  <si>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</si>
  <si>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</si>
  <si>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</si>
  <si>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</si>
  <si>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</si>
  <si>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</si>
  <si>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</si>
  <si>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</si>
  <si>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</si>
  <si>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</si>
  <si>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</si>
  <si>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</si>
  <si>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</si>
  <si>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</si>
  <si>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</si>
  <si>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</si>
  <si>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</si>
  <si>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</si>
  <si>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</si>
  <si>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</si>
  <si>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</si>
  <si>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</si>
  <si>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</si>
  <si>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</si>
  <si>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</si>
  <si>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</si>
  <si>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</si>
  <si>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</si>
  <si>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</si>
  <si>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</si>
  <si>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</si>
  <si>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</si>
  <si>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</si>
  <si>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</si>
  <si>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</si>
  <si>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</si>
  <si>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</si>
  <si>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</si>
  <si>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</si>
  <si>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</si>
  <si>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</si>
  <si>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</si>
  <si>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</si>
  <si>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</si>
  <si>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</si>
  <si>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</si>
  <si>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</si>
  <si>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</si>
  <si>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</si>
  <si>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</si>
  <si>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</si>
  <si>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</si>
  <si>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</si>
  <si>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</si>
  <si>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</si>
  <si>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</si>
  <si>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</si>
  <si>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</si>
  <si>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</si>
  <si>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</si>
  <si>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</si>
  <si>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</si>
  <si>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</si>
  <si>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</si>
  <si>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</si>
  <si>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</si>
  <si>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</si>
  <si>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</si>
  <si>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</si>
  <si>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</si>
  <si>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</si>
  <si>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</si>
  <si>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</si>
  <si>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</si>
  <si>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</si>
  <si>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</si>
  <si>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</si>
  <si>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</si>
  <si>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</si>
  <si>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</si>
  <si>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</si>
  <si>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</si>
  <si>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</si>
  <si>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</si>
  <si>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</si>
  <si>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</si>
  <si>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</si>
  <si>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</si>
  <si>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</si>
  <si>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</si>
  <si>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</si>
  <si>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</si>
  <si>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</si>
  <si>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</si>
  <si>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</si>
  <si>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</si>
  <si>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</si>
  <si>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</si>
  <si>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</si>
  <si>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</si>
  <si>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</si>
  <si>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</si>
  <si>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</si>
  <si>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</si>
  <si>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</si>
  <si>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</si>
  <si>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</si>
  <si>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</si>
  <si>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</si>
  <si>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</si>
  <si>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</si>
  <si>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</si>
  <si>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</si>
  <si>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</si>
  <si>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</si>
  <si>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</si>
  <si>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</si>
  <si>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</si>
  <si>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</si>
  <si>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</si>
  <si>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</si>
  <si>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</si>
  <si>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</si>
  <si>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</si>
  <si>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</si>
  <si>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</si>
  <si>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</si>
  <si>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</si>
  <si>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</si>
  <si>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</si>
  <si>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</si>
  <si>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</si>
  <si>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</si>
  <si>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</si>
  <si>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</si>
  <si>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</si>
  <si>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</si>
  <si>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</si>
  <si>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</si>
  <si>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</si>
  <si>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</si>
  <si>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</si>
  <si>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</si>
  <si>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</si>
  <si>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</si>
  <si>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</si>
  <si>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</si>
  <si>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</si>
  <si>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</si>
  <si>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</si>
  <si>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</si>
  <si>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</si>
  <si>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</si>
  <si>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</si>
  <si>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</si>
  <si>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</si>
  <si>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</si>
  <si>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</si>
  <si>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</si>
  <si>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</si>
  <si>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</si>
  <si>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</si>
  <si>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</si>
  <si>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</si>
  <si>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</si>
  <si>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</si>
  <si>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</si>
  <si>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</si>
  <si>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</si>
  <si>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</si>
  <si>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</si>
  <si>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</si>
  <si>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</si>
  <si>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</si>
  <si>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</si>
  <si>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</si>
  <si>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</si>
  <si>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</si>
  <si>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</si>
  <si>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</si>
  <si>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</si>
  <si>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</si>
  <si>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</si>
  <si>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</si>
  <si>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</si>
  <si>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</si>
  <si>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</si>
  <si>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</si>
  <si>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</si>
  <si>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</si>
  <si>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</si>
  <si>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</si>
  <si>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</si>
  <si>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</si>
  <si>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</si>
  <si>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</si>
  <si>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</si>
  <si>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</si>
  <si>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</si>
  <si>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</si>
  <si>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</si>
  <si>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</si>
  <si>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</si>
  <si>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</si>
  <si>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</si>
  <si>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</si>
  <si>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</si>
  <si>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</si>
  <si>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</si>
  <si>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</si>
  <si>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</si>
  <si>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</si>
  <si>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</si>
  <si>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</si>
  <si>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</si>
  <si>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</si>
  <si>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</si>
  <si>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</si>
  <si>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</si>
  <si>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</si>
  <si>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</si>
  <si>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</si>
  <si>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</si>
  <si>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</si>
  <si>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</si>
  <si>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</si>
  <si>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</si>
  <si>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</si>
  <si>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</si>
  <si>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</si>
  <si>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</si>
  <si>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</si>
  <si>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</si>
  <si>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</si>
  <si>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</si>
  <si>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</si>
  <si>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</si>
  <si>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</si>
  <si>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</si>
  <si>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</si>
  <si>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</si>
  <si>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</si>
  <si>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</si>
  <si>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</si>
  <si>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</si>
  <si>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</si>
  <si>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</si>
  <si>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</si>
  <si>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</si>
  <si>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</si>
  <si>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</si>
  <si>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</si>
  <si>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</si>
  <si>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</si>
  <si>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</si>
  <si>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</si>
  <si>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</si>
  <si>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</si>
  <si>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</si>
  <si>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</si>
  <si>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</si>
  <si>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</si>
  <si>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</si>
  <si>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</si>
  <si>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</si>
  <si>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</si>
  <si>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</si>
  <si>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</si>
  <si>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</si>
  <si>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</si>
  <si>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</si>
  <si>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</si>
  <si>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</si>
  <si>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</si>
  <si>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</si>
  <si>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</si>
  <si>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</si>
  <si>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</si>
  <si>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</si>
  <si>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</si>
  <si>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</si>
  <si>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</si>
  <si>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</si>
  <si>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</si>
  <si>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</si>
  <si>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</si>
  <si>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</si>
  <si>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</si>
  <si>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</si>
  <si>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</si>
  <si>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</si>
  <si>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</si>
  <si>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</si>
  <si>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</si>
  <si>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</si>
  <si>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</si>
  <si>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</si>
  <si>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</si>
  <si>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</si>
  <si>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</si>
  <si>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</si>
  <si>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</si>
  <si>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</si>
  <si>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</si>
  <si>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</si>
  <si>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</si>
  <si>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</si>
  <si>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</si>
  <si>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</si>
  <si>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</si>
  <si>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</si>
  <si>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</si>
  <si>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</si>
  <si>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</si>
  <si>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</si>
  <si>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</si>
  <si>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</si>
  <si>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</si>
  <si>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</si>
  <si>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</si>
  <si>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</si>
  <si>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</si>
  <si>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</si>
  <si>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</si>
  <si>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</si>
  <si>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</si>
  <si>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</si>
  <si>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</si>
  <si>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</si>
  <si>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</si>
  <si>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</si>
  <si>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</si>
  <si>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</si>
  <si>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</si>
  <si>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</si>
  <si>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</si>
  <si>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</si>
  <si>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</si>
  <si>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</si>
  <si>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</si>
  <si>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</si>
  <si>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</si>
  <si>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</si>
  <si>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</si>
  <si>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</si>
  <si>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</si>
  <si>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</si>
  <si>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</si>
  <si>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</si>
  <si>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</si>
  <si>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</si>
  <si>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</si>
  <si>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</si>
  <si>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</si>
  <si>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</si>
  <si>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</si>
  <si>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</si>
  <si>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</si>
  <si>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</si>
  <si>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</si>
  <si>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</si>
  <si>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</si>
  <si>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</si>
  <si>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</si>
  <si>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</si>
  <si>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</si>
  <si>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</si>
  <si>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</si>
  <si>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</si>
  <si>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</si>
  <si>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</si>
  <si>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</si>
  <si>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</si>
  <si>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</si>
  <si>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</si>
  <si>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</si>
  <si>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</si>
  <si>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</si>
  <si>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</si>
  <si>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</si>
  <si>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</si>
  <si>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</si>
  <si>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</si>
  <si>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</si>
  <si>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</si>
  <si>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</si>
  <si>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</si>
  <si>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</si>
  <si>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</si>
  <si>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</si>
  <si>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</si>
  <si>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</si>
  <si>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</si>
  <si>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</si>
  <si>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</si>
  <si>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</si>
  <si>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</si>
  <si>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</si>
  <si>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</si>
  <si>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</si>
  <si>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</si>
  <si>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</si>
  <si>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</si>
  <si>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</si>
  <si>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</si>
  <si>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</si>
  <si>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</si>
  <si>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</si>
  <si>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</si>
  <si>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</si>
  <si>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</si>
  <si>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</si>
  <si>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</si>
  <si>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</si>
  <si>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</si>
  <si>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</si>
  <si>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</si>
  <si>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</si>
  <si>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</si>
  <si>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</si>
  <si>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</si>
  <si>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</si>
  <si>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</si>
  <si>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</si>
  <si>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</si>
  <si>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</si>
  <si>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</si>
  <si>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</si>
  <si>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</si>
  <si>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</si>
  <si>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</si>
  <si>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</si>
  <si>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</si>
  <si>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</si>
  <si>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</si>
  <si>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</si>
  <si>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</si>
  <si>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</si>
  <si>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</si>
  <si>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</si>
  <si>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</si>
  <si>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</si>
  <si>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</si>
  <si>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</si>
  <si>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</si>
  <si>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</si>
  <si>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</si>
  <si>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</si>
  <si>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</si>
  <si>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</si>
  <si>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</si>
  <si>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</si>
  <si>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</si>
  <si>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</si>
  <si>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</si>
  <si>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</si>
  <si>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</si>
  <si>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</si>
  <si>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</si>
  <si>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</si>
  <si>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</si>
  <si>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</si>
  <si>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</si>
  <si>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</si>
  <si>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</si>
  <si>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</si>
  <si>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</si>
  <si>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</si>
  <si>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</si>
  <si>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</si>
  <si>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</si>
  <si>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</si>
  <si>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</si>
  <si>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</si>
  <si>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</si>
  <si>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</si>
  <si>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</si>
  <si>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</si>
  <si>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</si>
  <si>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</si>
  <si>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</si>
  <si>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</si>
  <si>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</si>
  <si>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</si>
  <si>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</si>
  <si>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</si>
  <si>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</si>
  <si>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</si>
  <si>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</si>
  <si>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</si>
  <si>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</si>
  <si>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</si>
  <si>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</si>
  <si>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</si>
  <si>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</si>
  <si>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</si>
  <si>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</si>
  <si>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</si>
  <si>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</si>
  <si>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</si>
  <si>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</si>
  <si>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</si>
  <si>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</si>
  <si>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</si>
  <si>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</si>
  <si>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</si>
  <si>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</si>
  <si>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</si>
  <si>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</si>
  <si>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</si>
  <si>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</si>
  <si>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</si>
  <si>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</si>
  <si>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</si>
  <si>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</si>
  <si>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</si>
  <si>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</si>
  <si>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</si>
  <si>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</si>
  <si>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</si>
  <si>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</si>
  <si>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</si>
  <si>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</si>
  <si>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</si>
  <si>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</si>
  <si>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</si>
  <si>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</si>
  <si>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</si>
  <si>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</si>
  <si>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</si>
  <si>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</si>
  <si>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</si>
  <si>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</si>
  <si>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</si>
  <si>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</si>
  <si>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</si>
  <si>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</si>
  <si>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</si>
  <si>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</si>
  <si>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</si>
  <si>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</si>
  <si>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</si>
  <si>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</si>
  <si>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</si>
  <si>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</si>
  <si>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</si>
  <si>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</si>
  <si>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</si>
  <si>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</si>
  <si>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</si>
  <si>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</si>
  <si>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</si>
  <si>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</si>
  <si>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</si>
  <si>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</si>
  <si>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</si>
  <si>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</si>
  <si>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</si>
  <si>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</si>
  <si>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</si>
  <si>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</si>
  <si>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</si>
  <si>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</si>
  <si>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</si>
  <si>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</si>
  <si>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</si>
  <si>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</si>
  <si>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</si>
  <si>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</si>
  <si>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</si>
  <si>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</si>
  <si>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</si>
  <si>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</si>
  <si>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</si>
  <si>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</si>
  <si>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</si>
  <si>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</si>
  <si>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</si>
  <si>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</si>
  <si>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</si>
  <si>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</si>
  <si>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</si>
  <si>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</si>
  <si>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</si>
  <si>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</si>
  <si>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</si>
  <si>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</si>
  <si>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</si>
  <si>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</si>
  <si>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</si>
  <si>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</si>
  <si>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</si>
  <si>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</si>
  <si>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</si>
  <si>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</si>
  <si>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</si>
  <si>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</si>
  <si>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</si>
  <si>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</si>
  <si>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</si>
  <si>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</si>
  <si>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</si>
  <si>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</si>
  <si>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</si>
  <si>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</si>
  <si>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</si>
  <si>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</si>
  <si>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</si>
  <si>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</si>
  <si>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</si>
  <si>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</si>
  <si>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</si>
  <si>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</si>
  <si>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</si>
  <si>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</si>
  <si>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</si>
  <si>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</si>
  <si>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</si>
  <si>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</si>
  <si>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</si>
  <si>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</si>
  <si>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</si>
  <si>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</si>
  <si>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</si>
  <si>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</si>
  <si>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</si>
  <si>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</si>
  <si>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</si>
  <si>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</si>
  <si>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</si>
  <si>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</si>
  <si>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</si>
  <si>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</si>
  <si>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</si>
  <si>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</si>
  <si>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</si>
  <si>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</si>
  <si>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</si>
  <si>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</si>
  <si>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</si>
  <si>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</si>
  <si>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</si>
  <si>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</si>
  <si>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</si>
  <si>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</si>
  <si>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</si>
  <si>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</si>
  <si>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</si>
  <si>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</si>
  <si>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</si>
  <si>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</si>
  <si>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</si>
  <si>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</si>
  <si>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</si>
  <si>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</si>
  <si>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</si>
  <si>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</si>
  <si>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</si>
  <si>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</si>
  <si>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</si>
  <si>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</si>
  <si>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</si>
  <si>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</si>
  <si>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</si>
  <si>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</si>
  <si>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</si>
  <si>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</si>
  <si>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</si>
  <si>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</si>
  <si>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</si>
  <si>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</si>
  <si>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</si>
  <si>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</si>
  <si>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</si>
  <si>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</si>
  <si>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</si>
  <si>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</si>
  <si>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</si>
  <si>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</si>
  <si>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</si>
  <si>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</si>
  <si>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</si>
  <si>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</si>
  <si>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</si>
  <si>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</si>
  <si>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</si>
  <si>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</si>
  <si>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</si>
  <si>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</si>
  <si>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</si>
  <si>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</si>
  <si>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</si>
  <si>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</si>
  <si>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</si>
  <si>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</si>
  <si>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</si>
  <si>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</si>
  <si>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</si>
  <si>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</si>
  <si>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</si>
  <si>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</si>
  <si>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</si>
  <si>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</si>
  <si>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</si>
  <si>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</si>
  <si>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</si>
  <si>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</si>
  <si>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</si>
  <si>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</si>
  <si>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</si>
  <si>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</si>
  <si>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</si>
  <si>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</si>
  <si>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</si>
  <si>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</si>
  <si>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</si>
  <si>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</si>
  <si>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</si>
  <si>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</si>
  <si>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</si>
  <si>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</si>
  <si>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</si>
  <si>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</si>
  <si>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</si>
  <si>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</si>
  <si>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</si>
  <si>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</si>
  <si>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</si>
  <si>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</si>
  <si>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</si>
  <si>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</si>
  <si>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</si>
  <si>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</si>
  <si>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</si>
  <si>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</si>
  <si>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</si>
  <si>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</si>
  <si>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</si>
  <si>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</si>
  <si>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</si>
  <si>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</si>
  <si>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</si>
  <si>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</si>
  <si>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</si>
  <si>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</si>
  <si>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</si>
  <si>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</si>
  <si>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</si>
  <si>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</si>
  <si>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</si>
  <si>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</si>
  <si>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</si>
  <si>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</si>
  <si>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</si>
  <si>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</si>
  <si>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</si>
  <si>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</si>
  <si>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</si>
  <si>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</si>
  <si>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</si>
  <si>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</si>
  <si>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</si>
  <si>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</si>
  <si>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</si>
  <si>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</si>
  <si>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</si>
  <si>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</si>
  <si>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</si>
  <si>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</si>
  <si>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</si>
  <si>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</si>
  <si>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</si>
  <si>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</si>
  <si>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</si>
  <si>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</si>
  <si>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</si>
  <si>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</si>
  <si>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</si>
  <si>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</si>
  <si>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</si>
  <si>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</si>
  <si>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</si>
  <si>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</si>
  <si>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</si>
  <si>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</si>
  <si>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</si>
  <si>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</si>
  <si>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</si>
  <si>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</si>
  <si>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</si>
  <si>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</si>
  <si>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</si>
  <si>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</si>
  <si>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</si>
  <si>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</si>
  <si>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</si>
  <si>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</si>
  <si>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</si>
  <si>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</si>
  <si>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</si>
  <si>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</si>
  <si>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</si>
  <si>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</si>
  <si>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</si>
  <si>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</si>
  <si>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</si>
  <si>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</si>
  <si>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</si>
  <si>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</si>
  <si>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</si>
  <si>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</si>
  <si>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</si>
  <si>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</si>
  <si>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</si>
  <si>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</si>
  <si>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</si>
  <si>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</si>
  <si>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</si>
  <si>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</si>
  <si>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</si>
  <si>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</si>
  <si>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</si>
  <si>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</si>
  <si>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</si>
  <si>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</si>
  <si>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</si>
  <si>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</si>
  <si>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</si>
  <si>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</si>
  <si>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</si>
  <si>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</si>
  <si>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</si>
  <si>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</si>
  <si>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</si>
  <si>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</si>
  <si>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</si>
  <si>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</si>
  <si>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</si>
  <si>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</si>
  <si>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</si>
  <si>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</si>
  <si>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</si>
  <si>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</si>
  <si>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</si>
  <si>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</si>
  <si>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</si>
  <si>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</si>
  <si>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</si>
  <si>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</si>
  <si>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</si>
  <si>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</si>
  <si>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</si>
  <si>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</si>
  <si>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</si>
  <si>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</si>
  <si>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</si>
  <si>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</si>
  <si>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</si>
  <si>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</si>
  <si>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</si>
  <si>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</si>
  <si>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</si>
  <si>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</si>
  <si>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</si>
  <si>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</si>
  <si>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</si>
  <si>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</si>
  <si>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</si>
  <si>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</si>
  <si>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</si>
  <si>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</si>
  <si>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</si>
  <si>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</si>
  <si>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</si>
  <si>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</si>
  <si>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</si>
  <si>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</si>
  <si>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</si>
  <si>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</si>
  <si>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</si>
  <si>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</si>
  <si>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</si>
  <si>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</si>
  <si>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</si>
  <si>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</si>
  <si>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</si>
  <si>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</si>
  <si>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</si>
  <si>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</si>
  <si>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</si>
  <si>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</si>
  <si>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</si>
  <si>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</si>
  <si>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</si>
  <si>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</si>
  <si>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</si>
  <si>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</si>
  <si>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</si>
  <si>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</si>
  <si>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</si>
  <si>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</si>
  <si>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</si>
  <si>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</si>
  <si>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</si>
  <si>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</si>
  <si>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</si>
  <si>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</si>
  <si>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</si>
  <si>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</si>
  <si>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</si>
  <si>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</si>
  <si>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</si>
  <si>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</si>
  <si>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</si>
  <si>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</si>
  <si>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</si>
  <si>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</si>
  <si>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</si>
  <si>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</si>
  <si>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</si>
  <si>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</si>
  <si>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</si>
  <si>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</si>
  <si>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</si>
  <si>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</si>
  <si>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</si>
  <si>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</si>
  <si>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</si>
  <si>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</si>
  <si>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</si>
  <si>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</si>
  <si>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</si>
  <si>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</si>
  <si>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</si>
  <si>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</si>
  <si>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</si>
  <si>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</si>
  <si>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</si>
  <si>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</si>
  <si>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</si>
  <si>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</si>
  <si>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</si>
  <si>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</si>
  <si>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</si>
  <si>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</si>
  <si>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</si>
  <si>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</si>
  <si>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</si>
  <si>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</si>
  <si>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</si>
  <si>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</si>
  <si>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</si>
  <si>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</si>
  <si>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</si>
  <si>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</si>
  <si>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</si>
  <si>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</si>
  <si>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</si>
  <si>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</si>
  <si>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</si>
  <si>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</si>
  <si>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</si>
  <si>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</si>
  <si>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</si>
  <si>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</si>
  <si>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</si>
  <si>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</si>
  <si>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</si>
  <si>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</si>
  <si>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</si>
  <si>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</si>
  <si>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</si>
  <si>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</si>
  <si>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</si>
  <si>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</si>
  <si>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</si>
  <si>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</si>
  <si>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</si>
  <si>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</si>
  <si>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</si>
  <si>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</si>
  <si>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</si>
  <si>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</si>
  <si>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</si>
  <si>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</si>
  <si>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</si>
  <si>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</si>
  <si>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</si>
  <si>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</si>
  <si>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</si>
  <si>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</si>
  <si>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</si>
  <si>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</si>
  <si>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</si>
  <si>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</si>
  <si>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</si>
  <si>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</si>
  <si>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</si>
  <si>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</si>
  <si>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</si>
  <si>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</si>
  <si>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</si>
  <si>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</si>
  <si>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</si>
  <si>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</si>
  <si>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</si>
  <si>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</si>
  <si>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</si>
  <si>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</si>
  <si>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</si>
  <si>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</si>
  <si>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</si>
  <si>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</si>
  <si>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</si>
  <si>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</si>
  <si>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</si>
  <si>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</si>
  <si>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</si>
  <si>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</si>
  <si>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</si>
  <si>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</si>
  <si>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</si>
  <si>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</si>
  <si>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</si>
  <si>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</si>
  <si>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</si>
  <si>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</si>
  <si>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</si>
  <si>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</si>
  <si>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</si>
  <si>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</si>
  <si>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</si>
  <si>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</si>
  <si>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</si>
  <si>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</si>
  <si>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</si>
  <si>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</si>
  <si>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</si>
  <si>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</si>
  <si>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</si>
  <si>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</si>
  <si>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</si>
  <si>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</si>
  <si>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</si>
  <si>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</si>
  <si>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</si>
  <si>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</si>
  <si>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</si>
  <si>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</si>
  <si>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</si>
  <si>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</si>
  <si>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</si>
  <si>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</si>
  <si>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</si>
  <si>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</si>
  <si>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</si>
  <si>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</si>
  <si>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</si>
  <si>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</si>
  <si>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</si>
  <si>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</si>
  <si>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</si>
  <si>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</si>
  <si>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</si>
  <si>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</si>
  <si>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</si>
  <si>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</si>
  <si>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</si>
  <si>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</si>
  <si>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</si>
  <si>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</si>
  <si>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</si>
  <si>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</si>
  <si>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</si>
  <si>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</si>
  <si>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</si>
  <si>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</si>
  <si>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</si>
  <si>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</si>
  <si>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</si>
  <si>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</si>
  <si>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</si>
  <si>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</si>
  <si>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</si>
  <si>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</si>
  <si>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</si>
  <si>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</si>
  <si>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</si>
  <si>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</si>
  <si>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</si>
  <si>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</si>
  <si>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</si>
  <si>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</si>
  <si>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</si>
  <si>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</si>
  <si>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</si>
  <si>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</si>
  <si>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</si>
  <si>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</si>
  <si>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</si>
  <si>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</si>
  <si>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</si>
  <si>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</si>
  <si>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</si>
  <si>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</si>
  <si>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</si>
  <si>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</si>
  <si>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</si>
  <si>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</si>
  <si>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</si>
  <si>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</si>
  <si>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</si>
  <si>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</si>
  <si>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</si>
  <si>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</si>
  <si>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</si>
  <si>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</si>
  <si>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</si>
  <si>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</si>
  <si>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</si>
  <si>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</si>
  <si>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</si>
  <si>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</si>
  <si>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</si>
  <si>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</si>
  <si>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</si>
  <si>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</si>
  <si>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</si>
  <si>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</si>
  <si>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</si>
  <si>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</si>
  <si>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</si>
  <si>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</si>
  <si>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</si>
  <si>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</si>
  <si>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</si>
  <si>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</si>
  <si>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</si>
  <si>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</si>
  <si>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</si>
  <si>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</si>
  <si>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</si>
  <si>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</si>
  <si>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</si>
  <si>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</si>
  <si>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</si>
  <si>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</si>
  <si>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</si>
  <si>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</si>
  <si>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</si>
  <si>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</si>
  <si>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</si>
  <si>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</si>
  <si>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</si>
  <si>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</si>
  <si>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</si>
  <si>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</si>
  <si>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</si>
  <si>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</si>
  <si>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</si>
  <si>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</si>
  <si>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</si>
  <si>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</si>
  <si>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</si>
  <si>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</si>
  <si>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</si>
  <si>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</si>
  <si>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</si>
  <si>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</si>
  <si>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</si>
  <si>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</si>
  <si>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</si>
  <si>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</si>
  <si>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</si>
  <si>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</si>
  <si>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</si>
  <si>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</si>
  <si>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</si>
  <si>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</si>
  <si>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</si>
  <si>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</si>
  <si>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</si>
  <si>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</si>
  <si>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</si>
  <si>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</si>
  <si>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</si>
  <si>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</si>
  <si>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</si>
  <si>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</si>
  <si>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</si>
  <si>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</si>
  <si>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</si>
  <si>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</si>
  <si>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</si>
  <si>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</si>
  <si>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</si>
  <si>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</si>
  <si>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</si>
  <si>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</si>
  <si>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</si>
  <si>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</si>
  <si>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</si>
  <si>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</si>
  <si>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</si>
  <si>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</si>
  <si>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</si>
  <si>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</si>
  <si>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</si>
  <si>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</si>
  <si>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</si>
  <si>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</si>
  <si>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</si>
  <si>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</si>
  <si>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</si>
  <si>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</si>
  <si>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</si>
  <si>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</si>
  <si>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</si>
  <si>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</si>
  <si>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</si>
  <si>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</si>
  <si>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</si>
  <si>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</si>
  <si>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</si>
  <si>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</si>
  <si>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</si>
  <si>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</si>
  <si>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</si>
  <si>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</si>
  <si>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</si>
  <si>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</si>
  <si>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</si>
  <si>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</si>
  <si>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</si>
  <si>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</si>
  <si>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</si>
  <si>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</si>
  <si>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</si>
  <si>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</si>
  <si>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</si>
  <si>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</si>
  <si>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</si>
  <si>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</si>
  <si>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</si>
  <si>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</si>
  <si>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</si>
  <si>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</si>
  <si>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</si>
  <si>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</si>
  <si>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</si>
  <si>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</si>
  <si>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</si>
  <si>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</si>
  <si>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</si>
  <si>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</si>
  <si>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</si>
  <si>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</si>
  <si>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</si>
  <si>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</si>
  <si>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</si>
  <si>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</si>
  <si>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</si>
  <si>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</si>
  <si>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</si>
  <si>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</si>
  <si>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</si>
  <si>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</si>
  <si>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</si>
  <si>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</si>
  <si>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</si>
  <si>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</si>
  <si>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</si>
  <si>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</si>
  <si>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</si>
  <si>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</si>
  <si>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</si>
  <si>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</si>
  <si>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</si>
  <si>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</si>
  <si>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</si>
  <si>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</si>
  <si>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</si>
  <si>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</si>
  <si>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</si>
  <si>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</si>
  <si>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</si>
  <si>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</si>
  <si>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</si>
  <si>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</si>
  <si>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</si>
  <si>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</si>
  <si>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</si>
  <si>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</si>
  <si>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</si>
  <si>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</si>
  <si>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</si>
  <si>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</si>
  <si>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</si>
  <si>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</si>
  <si>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</si>
  <si>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</si>
  <si>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</si>
  <si>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</si>
  <si>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</si>
  <si>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</si>
  <si>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</si>
  <si>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</si>
  <si>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</si>
  <si>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</si>
  <si>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</si>
  <si>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</si>
  <si>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</si>
  <si>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</si>
  <si>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</si>
  <si>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</si>
  <si>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</si>
  <si>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</si>
  <si>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</si>
  <si>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</si>
  <si>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</si>
  <si>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</si>
  <si>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</si>
  <si>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</si>
  <si>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</si>
  <si>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</si>
  <si>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</si>
  <si>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</si>
  <si>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</si>
  <si>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</si>
  <si>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</si>
  <si>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</si>
  <si>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</si>
  <si>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</si>
  <si>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</si>
  <si>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</si>
  <si>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</si>
  <si>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</si>
  <si>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</si>
  <si>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</si>
  <si>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</si>
  <si>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</si>
  <si>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</si>
  <si>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</si>
  <si>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</si>
  <si>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</si>
  <si>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</si>
  <si>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</si>
  <si>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</si>
  <si>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</si>
  <si>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</si>
  <si>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</si>
  <si>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</si>
  <si>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</si>
  <si>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</si>
  <si>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</si>
  <si>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</si>
  <si>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</si>
  <si>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</si>
  <si>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</si>
  <si>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</si>
  <si>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</si>
  <si>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</si>
  <si>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</si>
  <si>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</si>
  <si>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</si>
  <si>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</si>
  <si>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</si>
  <si>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</si>
  <si>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</si>
  <si>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</si>
  <si>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</si>
  <si>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</si>
  <si>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</si>
  <si>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</si>
  <si>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</si>
  <si>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</si>
  <si>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</si>
  <si>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</si>
  <si>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</si>
  <si>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</si>
  <si>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</si>
  <si>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</si>
  <si>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</si>
  <si>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</si>
  <si>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</si>
  <si>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</si>
  <si>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</si>
  <si>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</si>
  <si>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</si>
  <si>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</si>
  <si>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</si>
  <si>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</si>
  <si>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</si>
  <si>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</si>
  <si>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</si>
  <si>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</si>
  <si>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</si>
  <si>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</si>
  <si>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</si>
  <si>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</si>
  <si>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</si>
  <si>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</si>
  <si>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</si>
  <si>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</si>
  <si>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</si>
  <si>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</si>
  <si>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</si>
  <si>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</si>
  <si>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</si>
  <si>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</si>
  <si>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</si>
  <si>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</si>
  <si>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</si>
  <si>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</si>
  <si>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</si>
  <si>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</si>
  <si>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</si>
  <si>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</si>
  <si>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</si>
  <si>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</si>
  <si>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</si>
  <si>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</si>
  <si>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</si>
  <si>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</si>
  <si>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</si>
  <si>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</si>
  <si>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</si>
  <si>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</si>
  <si>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</si>
  <si>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</si>
  <si>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</si>
  <si>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</si>
  <si>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</si>
  <si>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</si>
  <si>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</si>
  <si>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</si>
  <si>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</si>
  <si>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</si>
  <si>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</si>
  <si>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</si>
  <si>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</si>
  <si>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</si>
  <si>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</si>
  <si>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</si>
  <si>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</si>
  <si>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</si>
  <si>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</si>
  <si>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</si>
  <si>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</si>
  <si>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</si>
  <si>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</si>
  <si>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</si>
  <si>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</si>
  <si>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</si>
  <si>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</si>
  <si>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</si>
  <si>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</si>
  <si>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</si>
  <si>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</si>
  <si>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</si>
  <si>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</si>
  <si>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</si>
  <si>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</si>
  <si>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</si>
  <si>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</si>
  <si>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</si>
  <si>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</si>
  <si>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</si>
  <si>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</si>
  <si>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</si>
  <si>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</si>
  <si>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</si>
  <si>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</si>
  <si>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</si>
  <si>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</si>
  <si>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</si>
  <si>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</si>
  <si>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</si>
  <si>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</si>
  <si>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</si>
  <si>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</si>
  <si>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</si>
  <si>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</si>
  <si>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</si>
  <si>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</si>
  <si>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</si>
  <si>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</si>
  <si>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</si>
  <si>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</si>
  <si>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</si>
  <si>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</si>
  <si>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</si>
  <si>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</si>
  <si>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</si>
  <si>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</si>
  <si>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</si>
  <si>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</si>
  <si>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</si>
  <si>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</si>
  <si>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</si>
  <si>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</si>
  <si>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</si>
  <si>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</si>
  <si>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</si>
  <si>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</si>
  <si>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</si>
  <si>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</si>
  <si>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</si>
  <si>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</si>
  <si>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</si>
  <si>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</si>
  <si>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</si>
  <si>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</si>
  <si>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</si>
  <si>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</si>
  <si>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</si>
  <si>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</si>
  <si>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</si>
  <si>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</si>
  <si>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</si>
  <si>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</si>
  <si>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Row Labels</t>
  </si>
  <si>
    <t>Grand Total</t>
  </si>
  <si>
    <t>Count of TX ID</t>
  </si>
  <si>
    <t>Sum of Quantity</t>
  </si>
  <si>
    <t>Sum of Amount</t>
  </si>
  <si>
    <t>Sum of Days to Deliver</t>
  </si>
  <si>
    <t>Average of Rating C</t>
  </si>
  <si>
    <t>Values to display</t>
  </si>
  <si>
    <t>Qty</t>
  </si>
  <si>
    <t>Avg. Days</t>
  </si>
  <si>
    <t>Column Labels</t>
  </si>
  <si>
    <t>Female</t>
  </si>
  <si>
    <t>Male</t>
  </si>
  <si>
    <t>Other</t>
  </si>
  <si>
    <t>Unknown</t>
  </si>
  <si>
    <t>For Matrix</t>
  </si>
  <si>
    <t>Group1</t>
  </si>
  <si>
    <t>Group2</t>
  </si>
  <si>
    <t>map for qty</t>
  </si>
  <si>
    <t>map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</si>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</sst>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0" fillId="0" borderId="1" xfId="0" applyBorder="1" applyAlignment="1">
      <alignment horizontal="left"/>
    </xf>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0" fontId="0" fillId="0" borderId="7" xfId="0" applyBorder="1"/>
    <xf numFmtId="0" fontId="0" fillId="0" borderId="8" xfId="0" applyBorder="1"/>
    <xf numFmtId="0" fontId="0" fillId="0" borderId="9" xfId="0" applyBorder="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1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39D-4289-A4AC-FE7F0702C887}"/>
            </c:ext>
          </c:extLst>
        </c:ser>
        <c:ser>
          <c:idx val="1"/>
          <c:order val="1"/>
          <c:tx>
            <c:strRef>
              <c:f>Sheet1!$C$8</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Sheet1!$C$9:$C$22</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39D-4289-A4AC-FE7F0702C887}"/>
            </c:ext>
          </c:extLst>
        </c:ser>
        <c:dLbls>
          <c:showLegendKey val="0"/>
          <c:showVal val="0"/>
          <c:showCatName val="0"/>
          <c:showSerName val="0"/>
          <c:showPercent val="0"/>
          <c:showBubbleSize val="0"/>
        </c:dLbls>
        <c:marker val="1"/>
        <c:smooth val="0"/>
        <c:axId val="1010296512"/>
        <c:axId val="934959264"/>
      </c:lineChart>
      <c:catAx>
        <c:axId val="10102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59264"/>
        <c:crosses val="autoZero"/>
        <c:auto val="1"/>
        <c:lblAlgn val="ctr"/>
        <c:lblOffset val="100"/>
        <c:noMultiLvlLbl val="0"/>
      </c:catAx>
      <c:valAx>
        <c:axId val="93495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 for tax</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1</c:v>
                </c:pt>
                <c:pt idx="1">
                  <c:v>2</c:v>
                </c:pt>
                <c:pt idx="2">
                  <c:v>3</c:v>
                </c:pt>
                <c:pt idx="3">
                  <c:v>4</c:v>
                </c:pt>
                <c:pt idx="4">
                  <c:v>5</c:v>
                </c:pt>
                <c:pt idx="5">
                  <c:v>Group1</c:v>
                </c:pt>
                <c:pt idx="6">
                  <c:v>Group2</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1EC-4DA7-9FCD-FF8CF48C8A4D}"/>
            </c:ext>
          </c:extLst>
        </c:ser>
        <c:dLbls>
          <c:showLegendKey val="0"/>
          <c:showVal val="0"/>
          <c:showCatName val="0"/>
          <c:showSerName val="0"/>
          <c:showPercent val="0"/>
          <c:showBubbleSize val="0"/>
        </c:dLbls>
        <c:gapWidth val="219"/>
        <c:overlap val="-27"/>
        <c:axId val="1306959440"/>
        <c:axId val="1306957776"/>
      </c:barChart>
      <c:catAx>
        <c:axId val="130695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957776"/>
        <c:crosses val="autoZero"/>
        <c:auto val="1"/>
        <c:lblAlgn val="ctr"/>
        <c:lblOffset val="100"/>
        <c:noMultiLvlLbl val="0"/>
      </c:catAx>
      <c:valAx>
        <c:axId val="130695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95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 for pie chart</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strCache>
            </c:strRef>
          </c:tx>
          <c:spPr>
            <a:solidFill>
              <a:schemeClr val="accent1"/>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566C-4F51-B256-15964D4C45A5}"/>
            </c:ext>
          </c:extLst>
        </c:ser>
        <c:ser>
          <c:idx val="1"/>
          <c:order val="1"/>
          <c:tx>
            <c:strRef>
              <c:f>Sheet4!$C$3:$C$4</c:f>
              <c:strCache>
                <c:ptCount val="1"/>
                <c:pt idx="0">
                  <c:v>F</c:v>
                </c:pt>
              </c:strCache>
            </c:strRef>
          </c:tx>
          <c:spPr>
            <a:solidFill>
              <a:schemeClr val="accent2"/>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5-566C-4F51-B256-15964D4C45A5}"/>
            </c:ext>
          </c:extLst>
        </c:ser>
        <c:ser>
          <c:idx val="2"/>
          <c:order val="2"/>
          <c:tx>
            <c:strRef>
              <c:f>Sheet4!$D$3:$D$4</c:f>
              <c:strCache>
                <c:ptCount val="1"/>
                <c:pt idx="0">
                  <c:v>M</c:v>
                </c:pt>
              </c:strCache>
            </c:strRef>
          </c:tx>
          <c:spPr>
            <a:solidFill>
              <a:schemeClr val="accent3"/>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566C-4F51-B256-15964D4C45A5}"/>
            </c:ext>
          </c:extLst>
        </c:ser>
        <c:ser>
          <c:idx val="3"/>
          <c:order val="3"/>
          <c:tx>
            <c:strRef>
              <c:f>Sheet4!$E$3:$E$4</c:f>
              <c:strCache>
                <c:ptCount val="1"/>
                <c:pt idx="0">
                  <c:v>O</c:v>
                </c:pt>
              </c:strCache>
            </c:strRef>
          </c:tx>
          <c:spPr>
            <a:solidFill>
              <a:schemeClr val="accent4"/>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566C-4F51-B256-15964D4C45A5}"/>
            </c:ext>
          </c:extLst>
        </c:ser>
        <c:dLbls>
          <c:showLegendKey val="0"/>
          <c:showVal val="0"/>
          <c:showCatName val="0"/>
          <c:showSerName val="0"/>
          <c:showPercent val="0"/>
          <c:showBubbleSize val="0"/>
        </c:dLbls>
        <c:gapWidth val="150"/>
        <c:overlap val="100"/>
        <c:axId val="1950627423"/>
        <c:axId val="1950601631"/>
      </c:barChart>
      <c:catAx>
        <c:axId val="195062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01631"/>
        <c:crosses val="autoZero"/>
        <c:auto val="1"/>
        <c:lblAlgn val="ctr"/>
        <c:lblOffset val="100"/>
        <c:noMultiLvlLbl val="0"/>
      </c:catAx>
      <c:valAx>
        <c:axId val="195060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2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Sheet4!$M$6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5D-4A66-BAC1-2347743FA9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5D-4A66-BAC1-2347743FA9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5D-4A66-BAC1-2347743FA9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5D-4A66-BAC1-2347743FA935}"/>
              </c:ext>
            </c:extLst>
          </c:dPt>
          <c:cat>
            <c:strRef>
              <c:f>Sheet4!$L$7:$L$11</c:f>
              <c:strCache>
                <c:ptCount val="4"/>
                <c:pt idx="1">
                  <c:v>F</c:v>
                </c:pt>
                <c:pt idx="2">
                  <c:v>M</c:v>
                </c:pt>
                <c:pt idx="3">
                  <c:v>O</c:v>
                </c:pt>
              </c:strCache>
            </c:strRef>
          </c:cat>
          <c:val>
            <c:numRef>
              <c:f>Sheet4!$M$7:$M$11</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0-3369-41AE-B7E5-C71D38BCFC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[ecommerce-blank.xlsx]Sheet6!PivotTable for cluster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8F9-4E4B-BF5A-AAF50C50374E}"/>
            </c:ext>
          </c:extLst>
        </c:ser>
        <c:dLbls>
          <c:showLegendKey val="0"/>
          <c:showVal val="0"/>
          <c:showCatName val="0"/>
          <c:showSerName val="0"/>
          <c:showPercent val="0"/>
          <c:showBubbleSize val="0"/>
        </c:dLbls>
        <c:gapWidth val="219"/>
        <c:overlap val="-27"/>
        <c:axId val="1935780111"/>
        <c:axId val="1935767215"/>
      </c:barChart>
      <c:catAx>
        <c:axId val="19357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67215"/>
        <c:crosses val="autoZero"/>
        <c:auto val="1"/>
        <c:lblAlgn val="ctr"/>
        <c:lblOffset val="100"/>
        <c:noMultiLvlLbl val="0"/>
      </c:catAx>
      <c:valAx>
        <c:axId val="193576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1</c:v>
                </c:pt>
              </c:strCache>
            </c:strRef>
          </c:tx>
          <c:spPr>
            <a:solidFill>
              <a:schemeClr val="accent1"/>
            </a:solidFill>
            <a:ln>
              <a:noFill/>
            </a:ln>
            <a:effectLst/>
          </c:spPr>
          <c:invertIfNegative val="0"/>
          <c:cat>
            <c:strRef>
              <c:f>Sheet7!$A$5:$A$8</c:f>
              <c:strCache>
                <c:ptCount val="3"/>
                <c:pt idx="0">
                  <c:v>Jan</c:v>
                </c:pt>
                <c:pt idx="1">
                  <c:v>Feb</c:v>
                </c:pt>
                <c:pt idx="2">
                  <c:v>Mar</c:v>
                </c:pt>
              </c:strCache>
            </c:strRef>
          </c:cat>
          <c:val>
            <c:numRef>
              <c:f>Sheet7!$B$5:$B$8</c:f>
              <c:numCache>
                <c:formatCode>General</c:formatCode>
                <c:ptCount val="3"/>
                <c:pt idx="0">
                  <c:v>7</c:v>
                </c:pt>
                <c:pt idx="1">
                  <c:v>8</c:v>
                </c:pt>
                <c:pt idx="2">
                  <c:v>6</c:v>
                </c:pt>
              </c:numCache>
            </c:numRef>
          </c:val>
          <c:extLst>
            <c:ext xmlns:c16="http://schemas.microsoft.com/office/drawing/2014/chart" uri="{C3380CC4-5D6E-409C-BE32-E72D297353CC}">
              <c16:uniqueId val="{00000000-4C11-4567-9919-62F1461BA766}"/>
            </c:ext>
          </c:extLst>
        </c:ser>
        <c:ser>
          <c:idx val="1"/>
          <c:order val="1"/>
          <c:tx>
            <c:strRef>
              <c:f>Sheet7!$C$3:$C$4</c:f>
              <c:strCache>
                <c:ptCount val="1"/>
                <c:pt idx="0">
                  <c:v>2</c:v>
                </c:pt>
              </c:strCache>
            </c:strRef>
          </c:tx>
          <c:spPr>
            <a:solidFill>
              <a:schemeClr val="accent2"/>
            </a:solidFill>
            <a:ln>
              <a:noFill/>
            </a:ln>
            <a:effectLst/>
          </c:spPr>
          <c:invertIfNegative val="0"/>
          <c:cat>
            <c:strRef>
              <c:f>Sheet7!$A$5:$A$8</c:f>
              <c:strCache>
                <c:ptCount val="3"/>
                <c:pt idx="0">
                  <c:v>Jan</c:v>
                </c:pt>
                <c:pt idx="1">
                  <c:v>Feb</c:v>
                </c:pt>
                <c:pt idx="2">
                  <c:v>Mar</c:v>
                </c:pt>
              </c:strCache>
            </c:strRef>
          </c:cat>
          <c:val>
            <c:numRef>
              <c:f>Sheet7!$C$5:$C$8</c:f>
              <c:numCache>
                <c:formatCode>General</c:formatCode>
                <c:ptCount val="3"/>
                <c:pt idx="0">
                  <c:v>37</c:v>
                </c:pt>
                <c:pt idx="1">
                  <c:v>51</c:v>
                </c:pt>
                <c:pt idx="2">
                  <c:v>39</c:v>
                </c:pt>
              </c:numCache>
            </c:numRef>
          </c:val>
          <c:extLst>
            <c:ext xmlns:c16="http://schemas.microsoft.com/office/drawing/2014/chart" uri="{C3380CC4-5D6E-409C-BE32-E72D297353CC}">
              <c16:uniqueId val="{00000001-4C11-4567-9919-62F1461BA766}"/>
            </c:ext>
          </c:extLst>
        </c:ser>
        <c:ser>
          <c:idx val="2"/>
          <c:order val="2"/>
          <c:tx>
            <c:strRef>
              <c:f>Sheet7!$D$3:$D$4</c:f>
              <c:strCache>
                <c:ptCount val="1"/>
                <c:pt idx="0">
                  <c:v>3</c:v>
                </c:pt>
              </c:strCache>
            </c:strRef>
          </c:tx>
          <c:spPr>
            <a:solidFill>
              <a:schemeClr val="accent3"/>
            </a:solidFill>
            <a:ln>
              <a:noFill/>
            </a:ln>
            <a:effectLst/>
          </c:spPr>
          <c:invertIfNegative val="0"/>
          <c:cat>
            <c:strRef>
              <c:f>Sheet7!$A$5:$A$8</c:f>
              <c:strCache>
                <c:ptCount val="3"/>
                <c:pt idx="0">
                  <c:v>Jan</c:v>
                </c:pt>
                <c:pt idx="1">
                  <c:v>Feb</c:v>
                </c:pt>
                <c:pt idx="2">
                  <c:v>Mar</c:v>
                </c:pt>
              </c:strCache>
            </c:strRef>
          </c:cat>
          <c:val>
            <c:numRef>
              <c:f>Sheet7!$D$5:$D$8</c:f>
              <c:numCache>
                <c:formatCode>General</c:formatCode>
                <c:ptCount val="3"/>
                <c:pt idx="0">
                  <c:v>150</c:v>
                </c:pt>
                <c:pt idx="1">
                  <c:v>182</c:v>
                </c:pt>
                <c:pt idx="2">
                  <c:v>163</c:v>
                </c:pt>
              </c:numCache>
            </c:numRef>
          </c:val>
          <c:extLst>
            <c:ext xmlns:c16="http://schemas.microsoft.com/office/drawing/2014/chart" uri="{C3380CC4-5D6E-409C-BE32-E72D297353CC}">
              <c16:uniqueId val="{00000002-4C11-4567-9919-62F1461BA766}"/>
            </c:ext>
          </c:extLst>
        </c:ser>
        <c:ser>
          <c:idx val="3"/>
          <c:order val="3"/>
          <c:tx>
            <c:strRef>
              <c:f>Sheet7!$E$3:$E$4</c:f>
              <c:strCache>
                <c:ptCount val="1"/>
                <c:pt idx="0">
                  <c:v>4</c:v>
                </c:pt>
              </c:strCache>
            </c:strRef>
          </c:tx>
          <c:spPr>
            <a:solidFill>
              <a:schemeClr val="accent4"/>
            </a:solidFill>
            <a:ln>
              <a:noFill/>
            </a:ln>
            <a:effectLst/>
          </c:spPr>
          <c:invertIfNegative val="0"/>
          <c:cat>
            <c:strRef>
              <c:f>Sheet7!$A$5:$A$8</c:f>
              <c:strCache>
                <c:ptCount val="3"/>
                <c:pt idx="0">
                  <c:v>Jan</c:v>
                </c:pt>
                <c:pt idx="1">
                  <c:v>Feb</c:v>
                </c:pt>
                <c:pt idx="2">
                  <c:v>Mar</c:v>
                </c:pt>
              </c:strCache>
            </c:strRef>
          </c:cat>
          <c:val>
            <c:numRef>
              <c:f>Sheet7!$E$5:$E$8</c:f>
              <c:numCache>
                <c:formatCode>General</c:formatCode>
                <c:ptCount val="3"/>
                <c:pt idx="0">
                  <c:v>312</c:v>
                </c:pt>
                <c:pt idx="1">
                  <c:v>373</c:v>
                </c:pt>
                <c:pt idx="2">
                  <c:v>351</c:v>
                </c:pt>
              </c:numCache>
            </c:numRef>
          </c:val>
          <c:extLst>
            <c:ext xmlns:c16="http://schemas.microsoft.com/office/drawing/2014/chart" uri="{C3380CC4-5D6E-409C-BE32-E72D297353CC}">
              <c16:uniqueId val="{00000004-4C11-4567-9919-62F1461BA766}"/>
            </c:ext>
          </c:extLst>
        </c:ser>
        <c:ser>
          <c:idx val="4"/>
          <c:order val="4"/>
          <c:tx>
            <c:strRef>
              <c:f>Sheet7!$F$3:$F$4</c:f>
              <c:strCache>
                <c:ptCount val="1"/>
                <c:pt idx="0">
                  <c:v>5</c:v>
                </c:pt>
              </c:strCache>
            </c:strRef>
          </c:tx>
          <c:spPr>
            <a:solidFill>
              <a:schemeClr val="accent5"/>
            </a:solidFill>
            <a:ln>
              <a:noFill/>
            </a:ln>
            <a:effectLst/>
          </c:spPr>
          <c:invertIfNegative val="0"/>
          <c:cat>
            <c:strRef>
              <c:f>Sheet7!$A$5:$A$8</c:f>
              <c:strCache>
                <c:ptCount val="3"/>
                <c:pt idx="0">
                  <c:v>Jan</c:v>
                </c:pt>
                <c:pt idx="1">
                  <c:v>Feb</c:v>
                </c:pt>
                <c:pt idx="2">
                  <c:v>Mar</c:v>
                </c:pt>
              </c:strCache>
            </c:strRef>
          </c:cat>
          <c:val>
            <c:numRef>
              <c:f>Sheet7!$F$5:$F$8</c:f>
              <c:numCache>
                <c:formatCode>General</c:formatCode>
                <c:ptCount val="3"/>
                <c:pt idx="0">
                  <c:v>224</c:v>
                </c:pt>
                <c:pt idx="1">
                  <c:v>247</c:v>
                </c:pt>
                <c:pt idx="2">
                  <c:v>250</c:v>
                </c:pt>
              </c:numCache>
            </c:numRef>
          </c:val>
          <c:extLst>
            <c:ext xmlns:c16="http://schemas.microsoft.com/office/drawing/2014/chart" uri="{C3380CC4-5D6E-409C-BE32-E72D297353CC}">
              <c16:uniqueId val="{00000005-4C11-4567-9919-62F1461BA766}"/>
            </c:ext>
          </c:extLst>
        </c:ser>
        <c:dLbls>
          <c:showLegendKey val="0"/>
          <c:showVal val="0"/>
          <c:showCatName val="0"/>
          <c:showSerName val="0"/>
          <c:showPercent val="0"/>
          <c:showBubbleSize val="0"/>
        </c:dLbls>
        <c:gapWidth val="219"/>
        <c:overlap val="-27"/>
        <c:axId val="2059086895"/>
        <c:axId val="2059087311"/>
      </c:barChart>
      <c:catAx>
        <c:axId val="20590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087311"/>
        <c:crosses val="autoZero"/>
        <c:auto val="1"/>
        <c:lblAlgn val="ctr"/>
        <c:lblOffset val="100"/>
        <c:noMultiLvlLbl val="0"/>
      </c:catAx>
      <c:valAx>
        <c:axId val="205908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08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 Trends - Qty &amp;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34A-4C26-8C35-D38EAC35CFC3}"/>
            </c:ext>
          </c:extLst>
        </c:ser>
        <c:dLbls>
          <c:showLegendKey val="0"/>
          <c:showVal val="0"/>
          <c:showCatName val="0"/>
          <c:showSerName val="0"/>
          <c:showPercent val="0"/>
          <c:showBubbleSize val="0"/>
        </c:dLbls>
        <c:marker val="1"/>
        <c:smooth val="0"/>
        <c:axId val="1010296512"/>
        <c:axId val="934959264"/>
      </c:lineChart>
      <c:lineChart>
        <c:grouping val="standard"/>
        <c:varyColors val="0"/>
        <c:ser>
          <c:idx val="1"/>
          <c:order val="1"/>
          <c:tx>
            <c:strRef>
              <c:f>Sheet1!$C$8</c:f>
              <c:strCache>
                <c:ptCount val="1"/>
                <c:pt idx="0">
                  <c:v>Sum of Amount</c:v>
                </c:pt>
              </c:strCache>
            </c:strRef>
          </c:tx>
          <c:spPr>
            <a:ln w="28575" cap="rnd">
              <a:solidFill>
                <a:schemeClr val="accent2"/>
              </a:solidFill>
              <a:round/>
            </a:ln>
            <a:effectLst/>
          </c:spPr>
          <c:marker>
            <c:symbol val="none"/>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Sheet1!$C$9:$C$22</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34A-4C26-8C35-D38EAC35CFC3}"/>
            </c:ext>
          </c:extLst>
        </c:ser>
        <c:dLbls>
          <c:showLegendKey val="0"/>
          <c:showVal val="0"/>
          <c:showCatName val="0"/>
          <c:showSerName val="0"/>
          <c:showPercent val="0"/>
          <c:showBubbleSize val="0"/>
        </c:dLbls>
        <c:marker val="1"/>
        <c:smooth val="0"/>
        <c:axId val="1010669696"/>
        <c:axId val="1010663040"/>
      </c:lineChart>
      <c:catAx>
        <c:axId val="10102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59264"/>
        <c:crosses val="autoZero"/>
        <c:auto val="1"/>
        <c:lblAlgn val="ctr"/>
        <c:lblOffset val="100"/>
        <c:noMultiLvlLbl val="0"/>
      </c:catAx>
      <c:valAx>
        <c:axId val="93495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96512"/>
        <c:crosses val="autoZero"/>
        <c:crossBetween val="between"/>
      </c:valAx>
      <c:valAx>
        <c:axId val="1010663040"/>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669696"/>
        <c:crosses val="max"/>
        <c:crossBetween val="between"/>
      </c:valAx>
      <c:catAx>
        <c:axId val="1010669696"/>
        <c:scaling>
          <c:orientation val="minMax"/>
        </c:scaling>
        <c:delete val="1"/>
        <c:axPos val="b"/>
        <c:numFmt formatCode="General" sourceLinked="1"/>
        <c:majorTickMark val="out"/>
        <c:minorTickMark val="none"/>
        <c:tickLblPos val="nextTo"/>
        <c:crossAx val="10106630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 for tax</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Many they Buy?</a:t>
            </a:r>
            <a:r>
              <a:rPr lang="en-IN" b="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tx2">
                <a:lumMod val="75000"/>
                <a:lumOff val="25000"/>
              </a:schemeClr>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1</c:v>
                </c:pt>
                <c:pt idx="1">
                  <c:v>2</c:v>
                </c:pt>
                <c:pt idx="2">
                  <c:v>3</c:v>
                </c:pt>
                <c:pt idx="3">
                  <c:v>4</c:v>
                </c:pt>
                <c:pt idx="4">
                  <c:v>5</c:v>
                </c:pt>
                <c:pt idx="5">
                  <c:v>Group1</c:v>
                </c:pt>
                <c:pt idx="6">
                  <c:v>Group2</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210-49B8-B2DC-CCF4E2CB5936}"/>
            </c:ext>
          </c:extLst>
        </c:ser>
        <c:dLbls>
          <c:dLblPos val="outEnd"/>
          <c:showLegendKey val="0"/>
          <c:showVal val="1"/>
          <c:showCatName val="0"/>
          <c:showSerName val="0"/>
          <c:showPercent val="0"/>
          <c:showBubbleSize val="0"/>
        </c:dLbls>
        <c:gapWidth val="0"/>
        <c:overlap val="95"/>
        <c:axId val="1306959440"/>
        <c:axId val="1306957776"/>
      </c:barChart>
      <c:catAx>
        <c:axId val="130695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957776"/>
        <c:crosses val="autoZero"/>
        <c:auto val="1"/>
        <c:lblAlgn val="ctr"/>
        <c:lblOffset val="100"/>
        <c:noMultiLvlLbl val="0"/>
      </c:catAx>
      <c:valAx>
        <c:axId val="1306957776"/>
        <c:scaling>
          <c:orientation val="minMax"/>
        </c:scaling>
        <c:delete val="1"/>
        <c:axPos val="l"/>
        <c:numFmt formatCode="General" sourceLinked="1"/>
        <c:majorTickMark val="out"/>
        <c:minorTickMark val="none"/>
        <c:tickLblPos val="nextTo"/>
        <c:crossAx val="130695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 for pie chart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Which</a:t>
            </a:r>
            <a:r>
              <a:rPr lang="en-IN" b="1" baseline="0"/>
              <a:t> Products are Popular? </a:t>
            </a:r>
            <a:r>
              <a:rPr lang="en-IN" baseline="0"/>
              <a:t>Breakdown by     Gender </a:t>
            </a:r>
            <a:endParaRPr lang="en-IN"/>
          </a:p>
        </c:rich>
      </c:tx>
      <c:layout>
        <c:manualLayout>
          <c:xMode val="edge"/>
          <c:yMode val="edge"/>
          <c:x val="5.0261848096184857E-2"/>
          <c:y val="2.3961919415781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strCache>
            </c:strRef>
          </c:tx>
          <c:spPr>
            <a:solidFill>
              <a:schemeClr val="accent1"/>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26EB-4146-9D81-DFCA40D4BC7E}"/>
            </c:ext>
          </c:extLst>
        </c:ser>
        <c:ser>
          <c:idx val="1"/>
          <c:order val="1"/>
          <c:tx>
            <c:strRef>
              <c:f>Sheet4!$C$3:$C$4</c:f>
              <c:strCache>
                <c:ptCount val="1"/>
                <c:pt idx="0">
                  <c:v>F</c:v>
                </c:pt>
              </c:strCache>
            </c:strRef>
          </c:tx>
          <c:spPr>
            <a:solidFill>
              <a:schemeClr val="accent2"/>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5-26EB-4146-9D81-DFCA40D4BC7E}"/>
            </c:ext>
          </c:extLst>
        </c:ser>
        <c:ser>
          <c:idx val="2"/>
          <c:order val="2"/>
          <c:tx>
            <c:strRef>
              <c:f>Sheet4!$D$3:$D$4</c:f>
              <c:strCache>
                <c:ptCount val="1"/>
                <c:pt idx="0">
                  <c:v>M</c:v>
                </c:pt>
              </c:strCache>
            </c:strRef>
          </c:tx>
          <c:spPr>
            <a:solidFill>
              <a:schemeClr val="accent3"/>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26EB-4146-9D81-DFCA40D4BC7E}"/>
            </c:ext>
          </c:extLst>
        </c:ser>
        <c:ser>
          <c:idx val="3"/>
          <c:order val="3"/>
          <c:tx>
            <c:strRef>
              <c:f>Sheet4!$E$3:$E$4</c:f>
              <c:strCache>
                <c:ptCount val="1"/>
                <c:pt idx="0">
                  <c:v>O</c:v>
                </c:pt>
              </c:strCache>
            </c:strRef>
          </c:tx>
          <c:spPr>
            <a:solidFill>
              <a:schemeClr val="accent4"/>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26EB-4146-9D81-DFCA40D4BC7E}"/>
            </c:ext>
          </c:extLst>
        </c:ser>
        <c:dLbls>
          <c:showLegendKey val="0"/>
          <c:showVal val="0"/>
          <c:showCatName val="0"/>
          <c:showSerName val="0"/>
          <c:showPercent val="0"/>
          <c:showBubbleSize val="0"/>
        </c:dLbls>
        <c:gapWidth val="150"/>
        <c:overlap val="100"/>
        <c:axId val="1950627423"/>
        <c:axId val="1950601631"/>
      </c:barChart>
      <c:catAx>
        <c:axId val="195062742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50601631"/>
        <c:crosses val="autoZero"/>
        <c:auto val="1"/>
        <c:lblAlgn val="ctr"/>
        <c:lblOffset val="100"/>
        <c:noMultiLvlLbl val="0"/>
      </c:catAx>
      <c:valAx>
        <c:axId val="19506016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2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[ecommerce-blank.xlsx]Sheet4!PivotTable2</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90000"/>
              <a:lumOff val="1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dLbl>
          <c:idx val="0"/>
          <c:layout>
            <c:manualLayout>
              <c:x val="0.25482123550736302"/>
              <c:y val="-6.201725600500044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w="19050">
            <a:solidFill>
              <a:schemeClr val="lt1"/>
            </a:solidFill>
          </a:ln>
          <a:effectLst/>
        </c:spPr>
        <c:dLbl>
          <c:idx val="0"/>
          <c:layout>
            <c:manualLayout>
              <c:x val="0.14815188110893199"/>
              <c:y val="7.087686400571471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0.18370833257507568"/>
              <c:y val="3.543843200285740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w="19050">
            <a:solidFill>
              <a:schemeClr val="lt1"/>
            </a:solidFill>
          </a:ln>
          <a:effectLst/>
        </c:spPr>
        <c:dLbl>
          <c:idx val="0"/>
          <c:layout>
            <c:manualLayout>
              <c:x val="-0.29630376221786398"/>
              <c:y val="-7.973647200642915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Sheet4!$M$6</c:f>
              <c:strCache>
                <c:ptCount val="1"/>
                <c:pt idx="0">
                  <c:v>Total</c:v>
                </c:pt>
              </c:strCache>
            </c:strRef>
          </c:tx>
          <c:spPr>
            <a:solidFill>
              <a:schemeClr val="tx2">
                <a:lumMod val="90000"/>
                <a:lumOff val="10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B26C-4749-9643-281C6ABEF041}"/>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B26C-4749-9643-281C6ABEF04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26C-4749-9643-281C6ABEF041}"/>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B26C-4749-9643-281C6ABEF041}"/>
              </c:ext>
            </c:extLst>
          </c:dPt>
          <c:dLbls>
            <c:dLbl>
              <c:idx val="0"/>
              <c:layout>
                <c:manualLayout>
                  <c:x val="0.25482123550736302"/>
                  <c:y val="-6.2017256005000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6C-4749-9643-281C6ABEF041}"/>
                </c:ext>
              </c:extLst>
            </c:dLbl>
            <c:dLbl>
              <c:idx val="1"/>
              <c:layout>
                <c:manualLayout>
                  <c:x val="0.14815188110893199"/>
                  <c:y val="7.0876864005714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6C-4749-9643-281C6ABEF041}"/>
                </c:ext>
              </c:extLst>
            </c:dLbl>
            <c:dLbl>
              <c:idx val="2"/>
              <c:layout>
                <c:manualLayout>
                  <c:x val="-0.18370833257507568"/>
                  <c:y val="3.5438432002857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6C-4749-9643-281C6ABEF041}"/>
                </c:ext>
              </c:extLst>
            </c:dLbl>
            <c:dLbl>
              <c:idx val="3"/>
              <c:layout>
                <c:manualLayout>
                  <c:x val="-0.29630376221786398"/>
                  <c:y val="-7.9736472006429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6C-4749-9643-281C6ABEF04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Sheet4!$L$7:$L$11</c:f>
              <c:strCache>
                <c:ptCount val="4"/>
                <c:pt idx="1">
                  <c:v>F</c:v>
                </c:pt>
                <c:pt idx="2">
                  <c:v>M</c:v>
                </c:pt>
                <c:pt idx="3">
                  <c:v>O</c:v>
                </c:pt>
              </c:strCache>
            </c:strRef>
          </c:cat>
          <c:val>
            <c:numRef>
              <c:f>Sheet4!$M$7:$M$11</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B26C-4749-9643-281C6ABEF041}"/>
            </c:ext>
          </c:extLst>
        </c:ser>
        <c:dLbls>
          <c:showLegendKey val="0"/>
          <c:showVal val="1"/>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[ecommerce-blank.xlsx]Sheet6!PivotTable for cluster chart</c:name>
    <c:fmtId val="2"/>
  </c:pivotSource>
  <c:chart>
    <c:title>
      <c:tx>
        <c:rich>
          <a:bodyPr rot="0" spcFirstLastPara="1" vertOverflow="ellipsis" vert="horz" wrap="square" anchor="ctr" anchorCtr="1"/>
          <a:lstStyle/>
          <a:p>
            <a:pPr>
              <a:defRPr lang="en-US" sz="1680" b="1" i="0" u="none" strike="noStrike" kern="1200" spc="0" baseline="0">
                <a:solidFill>
                  <a:sysClr val="windowText" lastClr="000000">
                    <a:lumMod val="65000"/>
                    <a:lumOff val="35000"/>
                  </a:sysClr>
                </a:solidFill>
                <a:latin typeface="+mn-lt"/>
                <a:ea typeface="+mn-ea"/>
                <a:cs typeface="+mn-cs"/>
              </a:defRPr>
            </a:pPr>
            <a:r>
              <a:rPr lang="en-US"/>
              <a:t>How Long We take to Ship?</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tx2">
                <a:lumMod val="90000"/>
                <a:lumOff val="10000"/>
              </a:schemeClr>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740-402E-BABD-2EB535937470}"/>
            </c:ext>
          </c:extLst>
        </c:ser>
        <c:dLbls>
          <c:showLegendKey val="0"/>
          <c:showVal val="0"/>
          <c:showCatName val="0"/>
          <c:showSerName val="0"/>
          <c:showPercent val="0"/>
          <c:showBubbleSize val="0"/>
        </c:dLbls>
        <c:gapWidth val="0"/>
        <c:overlap val="85"/>
        <c:axId val="1935780111"/>
        <c:axId val="1935767215"/>
      </c:barChart>
      <c:catAx>
        <c:axId val="19357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crossAx val="1935767215"/>
        <c:crosses val="autoZero"/>
        <c:auto val="1"/>
        <c:lblAlgn val="ctr"/>
        <c:lblOffset val="100"/>
        <c:noMultiLvlLbl val="0"/>
      </c:catAx>
      <c:valAx>
        <c:axId val="193576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crossAx val="19357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Satisfied  are our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1</c:v>
                </c:pt>
              </c:strCache>
            </c:strRef>
          </c:tx>
          <c:spPr>
            <a:solidFill>
              <a:schemeClr val="accent1"/>
            </a:solidFill>
            <a:ln>
              <a:noFill/>
            </a:ln>
            <a:effectLst/>
          </c:spPr>
          <c:invertIfNegative val="0"/>
          <c:cat>
            <c:strRef>
              <c:f>Sheet7!$A$5:$A$8</c:f>
              <c:strCache>
                <c:ptCount val="3"/>
                <c:pt idx="0">
                  <c:v>Jan</c:v>
                </c:pt>
                <c:pt idx="1">
                  <c:v>Feb</c:v>
                </c:pt>
                <c:pt idx="2">
                  <c:v>Mar</c:v>
                </c:pt>
              </c:strCache>
            </c:strRef>
          </c:cat>
          <c:val>
            <c:numRef>
              <c:f>Sheet7!$B$5:$B$8</c:f>
              <c:numCache>
                <c:formatCode>General</c:formatCode>
                <c:ptCount val="3"/>
                <c:pt idx="0">
                  <c:v>7</c:v>
                </c:pt>
                <c:pt idx="1">
                  <c:v>8</c:v>
                </c:pt>
                <c:pt idx="2">
                  <c:v>6</c:v>
                </c:pt>
              </c:numCache>
            </c:numRef>
          </c:val>
          <c:extLst>
            <c:ext xmlns:c16="http://schemas.microsoft.com/office/drawing/2014/chart" uri="{C3380CC4-5D6E-409C-BE32-E72D297353CC}">
              <c16:uniqueId val="{00000000-6AED-41B6-A8E3-85BD816E246C}"/>
            </c:ext>
          </c:extLst>
        </c:ser>
        <c:ser>
          <c:idx val="1"/>
          <c:order val="1"/>
          <c:tx>
            <c:strRef>
              <c:f>Sheet7!$C$3:$C$4</c:f>
              <c:strCache>
                <c:ptCount val="1"/>
                <c:pt idx="0">
                  <c:v>2</c:v>
                </c:pt>
              </c:strCache>
            </c:strRef>
          </c:tx>
          <c:spPr>
            <a:solidFill>
              <a:schemeClr val="accent2"/>
            </a:solidFill>
            <a:ln>
              <a:noFill/>
            </a:ln>
            <a:effectLst/>
          </c:spPr>
          <c:invertIfNegative val="0"/>
          <c:cat>
            <c:strRef>
              <c:f>Sheet7!$A$5:$A$8</c:f>
              <c:strCache>
                <c:ptCount val="3"/>
                <c:pt idx="0">
                  <c:v>Jan</c:v>
                </c:pt>
                <c:pt idx="1">
                  <c:v>Feb</c:v>
                </c:pt>
                <c:pt idx="2">
                  <c:v>Mar</c:v>
                </c:pt>
              </c:strCache>
            </c:strRef>
          </c:cat>
          <c:val>
            <c:numRef>
              <c:f>Sheet7!$C$5:$C$8</c:f>
              <c:numCache>
                <c:formatCode>General</c:formatCode>
                <c:ptCount val="3"/>
                <c:pt idx="0">
                  <c:v>37</c:v>
                </c:pt>
                <c:pt idx="1">
                  <c:v>51</c:v>
                </c:pt>
                <c:pt idx="2">
                  <c:v>39</c:v>
                </c:pt>
              </c:numCache>
            </c:numRef>
          </c:val>
          <c:extLst>
            <c:ext xmlns:c16="http://schemas.microsoft.com/office/drawing/2014/chart" uri="{C3380CC4-5D6E-409C-BE32-E72D297353CC}">
              <c16:uniqueId val="{00000001-6AED-41B6-A8E3-85BD816E246C}"/>
            </c:ext>
          </c:extLst>
        </c:ser>
        <c:ser>
          <c:idx val="2"/>
          <c:order val="2"/>
          <c:tx>
            <c:strRef>
              <c:f>Sheet7!$D$3:$D$4</c:f>
              <c:strCache>
                <c:ptCount val="1"/>
                <c:pt idx="0">
                  <c:v>3</c:v>
                </c:pt>
              </c:strCache>
            </c:strRef>
          </c:tx>
          <c:spPr>
            <a:solidFill>
              <a:schemeClr val="accent3"/>
            </a:solidFill>
            <a:ln>
              <a:noFill/>
            </a:ln>
            <a:effectLst/>
          </c:spPr>
          <c:invertIfNegative val="0"/>
          <c:cat>
            <c:strRef>
              <c:f>Sheet7!$A$5:$A$8</c:f>
              <c:strCache>
                <c:ptCount val="3"/>
                <c:pt idx="0">
                  <c:v>Jan</c:v>
                </c:pt>
                <c:pt idx="1">
                  <c:v>Feb</c:v>
                </c:pt>
                <c:pt idx="2">
                  <c:v>Mar</c:v>
                </c:pt>
              </c:strCache>
            </c:strRef>
          </c:cat>
          <c:val>
            <c:numRef>
              <c:f>Sheet7!$D$5:$D$8</c:f>
              <c:numCache>
                <c:formatCode>General</c:formatCode>
                <c:ptCount val="3"/>
                <c:pt idx="0">
                  <c:v>150</c:v>
                </c:pt>
                <c:pt idx="1">
                  <c:v>182</c:v>
                </c:pt>
                <c:pt idx="2">
                  <c:v>163</c:v>
                </c:pt>
              </c:numCache>
            </c:numRef>
          </c:val>
          <c:extLst>
            <c:ext xmlns:c16="http://schemas.microsoft.com/office/drawing/2014/chart" uri="{C3380CC4-5D6E-409C-BE32-E72D297353CC}">
              <c16:uniqueId val="{00000002-6AED-41B6-A8E3-85BD816E246C}"/>
            </c:ext>
          </c:extLst>
        </c:ser>
        <c:ser>
          <c:idx val="3"/>
          <c:order val="3"/>
          <c:tx>
            <c:strRef>
              <c:f>Sheet7!$E$3:$E$4</c:f>
              <c:strCache>
                <c:ptCount val="1"/>
                <c:pt idx="0">
                  <c:v>4</c:v>
                </c:pt>
              </c:strCache>
            </c:strRef>
          </c:tx>
          <c:spPr>
            <a:solidFill>
              <a:schemeClr val="accent4"/>
            </a:solidFill>
            <a:ln>
              <a:noFill/>
            </a:ln>
            <a:effectLst/>
          </c:spPr>
          <c:invertIfNegative val="0"/>
          <c:cat>
            <c:strRef>
              <c:f>Sheet7!$A$5:$A$8</c:f>
              <c:strCache>
                <c:ptCount val="3"/>
                <c:pt idx="0">
                  <c:v>Jan</c:v>
                </c:pt>
                <c:pt idx="1">
                  <c:v>Feb</c:v>
                </c:pt>
                <c:pt idx="2">
                  <c:v>Mar</c:v>
                </c:pt>
              </c:strCache>
            </c:strRef>
          </c:cat>
          <c:val>
            <c:numRef>
              <c:f>Sheet7!$E$5:$E$8</c:f>
              <c:numCache>
                <c:formatCode>General</c:formatCode>
                <c:ptCount val="3"/>
                <c:pt idx="0">
                  <c:v>312</c:v>
                </c:pt>
                <c:pt idx="1">
                  <c:v>373</c:v>
                </c:pt>
                <c:pt idx="2">
                  <c:v>351</c:v>
                </c:pt>
              </c:numCache>
            </c:numRef>
          </c:val>
          <c:extLst>
            <c:ext xmlns:c16="http://schemas.microsoft.com/office/drawing/2014/chart" uri="{C3380CC4-5D6E-409C-BE32-E72D297353CC}">
              <c16:uniqueId val="{00000003-6AED-41B6-A8E3-85BD816E246C}"/>
            </c:ext>
          </c:extLst>
        </c:ser>
        <c:ser>
          <c:idx val="4"/>
          <c:order val="4"/>
          <c:tx>
            <c:strRef>
              <c:f>Sheet7!$F$3:$F$4</c:f>
              <c:strCache>
                <c:ptCount val="1"/>
                <c:pt idx="0">
                  <c:v>5</c:v>
                </c:pt>
              </c:strCache>
            </c:strRef>
          </c:tx>
          <c:spPr>
            <a:solidFill>
              <a:schemeClr val="accent5"/>
            </a:solidFill>
            <a:ln>
              <a:noFill/>
            </a:ln>
            <a:effectLst/>
          </c:spPr>
          <c:invertIfNegative val="0"/>
          <c:cat>
            <c:strRef>
              <c:f>Sheet7!$A$5:$A$8</c:f>
              <c:strCache>
                <c:ptCount val="3"/>
                <c:pt idx="0">
                  <c:v>Jan</c:v>
                </c:pt>
                <c:pt idx="1">
                  <c:v>Feb</c:v>
                </c:pt>
                <c:pt idx="2">
                  <c:v>Mar</c:v>
                </c:pt>
              </c:strCache>
            </c:strRef>
          </c:cat>
          <c:val>
            <c:numRef>
              <c:f>Sheet7!$F$5:$F$8</c:f>
              <c:numCache>
                <c:formatCode>General</c:formatCode>
                <c:ptCount val="3"/>
                <c:pt idx="0">
                  <c:v>224</c:v>
                </c:pt>
                <c:pt idx="1">
                  <c:v>247</c:v>
                </c:pt>
                <c:pt idx="2">
                  <c:v>250</c:v>
                </c:pt>
              </c:numCache>
            </c:numRef>
          </c:val>
          <c:extLst>
            <c:ext xmlns:c16="http://schemas.microsoft.com/office/drawing/2014/chart" uri="{C3380CC4-5D6E-409C-BE32-E72D297353CC}">
              <c16:uniqueId val="{00000004-6AED-41B6-A8E3-85BD816E246C}"/>
            </c:ext>
          </c:extLst>
        </c:ser>
        <c:dLbls>
          <c:showLegendKey val="0"/>
          <c:showVal val="0"/>
          <c:showCatName val="0"/>
          <c:showSerName val="0"/>
          <c:showPercent val="0"/>
          <c:showBubbleSize val="0"/>
        </c:dLbls>
        <c:gapWidth val="219"/>
        <c:overlap val="-27"/>
        <c:axId val="2059086895"/>
        <c:axId val="2059087311"/>
      </c:barChart>
      <c:catAx>
        <c:axId val="20590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087311"/>
        <c:crosses val="autoZero"/>
        <c:auto val="1"/>
        <c:lblAlgn val="ctr"/>
        <c:lblOffset val="100"/>
        <c:noMultiLvlLbl val="0"/>
      </c:catAx>
      <c:valAx>
        <c:axId val="205908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08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90E6577-717E-4F97-B52E-3CB6738ACE9E}">
          <cx:dataId val="0"/>
          <cx:layoutPr>
            <cx:geography cultureLanguage="en-US" cultureRegion="IN" attribution="Powered by Bing">
              <cx:geoCache provider="{E9337A44-BEBE-4D9F-B70C-5C5E7DAFC167}">
                <cx:binary>7H1pc9s41u5fSeXzpRsbAXJqeqoGpCTvduzY6fQXlmIr3AkuALdf/x7ZTiai5B65ql23Xt2r7q4u
izrgIR/g7Dj450P/j4dstaw/9HlWNP946H//GGld/uO335qHaJUvm6M8fqhVo77roweV/6a+f48f
Vr891ssuLsLfCMLst4doWetV//Ff/4TRwpU6Vw9LHavik1nVw82qMZlu/uLazksflo95XPhxo+v4
QePfP3rLLP6u6iJefty8Rn7/eLaqiw+eMoUePn5YFTrWw+ehXP3+cWMQ8vHDb9N7bfH1IQPWtXkE
YmofUUEZshlHTx/88UOmivDlsoWxe4Sw42JKxI/bXi5zoNyXnydulo+P9app4KGe/j+h3ngCeAv/
/i9P/7B+C+u3HgIAv3+8K2K9evxwq5d61Xz8EDfq6TXVg6fWj3h3+/ROftvE7V//nHwBb2nyzS/Q
Tl/pf7u0id5/QdZTmWmW74Cte0SQSyjH9jO2MDk2sCXkCCGHcpfZm9juz9FudCf0e+A7oTgwhP1V
9uFSgfz4+0Fm+EjYTAgCi/TpA8t0E2QGs4BRwQnA/yw3nhfwm5jajfP2EHtAvU10YGjfxO2qbuLH
d0Cb0iPXQTalL9IabYlrAfJcIIKFu4n2m5jajfb2EHugvU10YGj/OwN1+Pge4lscOYg5xOH0lZVN
joggDFb2JtRv4Gg30NMB9oB5SnJwIJdx8R7r2TniLrVBQ7NnjJ2J9AbzS8DHtgWbgrwvR69hvEG/
F8QbFAeG8G20bPQ7rGKGjgA7Th0qXjXCqIOR4xC+ifD+HO1GeEK/B8ITigND+N/58lHVf78FRp0j
CkIYEQeW6KbphWDxEuJS5P7wrX41wPZnaDfAE/o9AJ5QHBjAn+sYPMHh70cY1rAA/9cWNn9VE7vg
Q2NwtTbX8BtY2o3xdIA9QJ6SHBjKt8viw6laViZ+j3CIOHIBZkYYeZbWdLqk8RFxCQNt/exTT/B+
I3O7Md81yB647yI7MOyl0e/hQ1P3yMbkKQq22woj+MiGCBnGZIL33gztRnqTfA+MNwkODN1blS0L
9feLb1DQxMbMEYI+L+qp07yOgzHXsRGbmmB7c7Qb38kT7QHwhOLAEL5Ygop+B4BBagsGchu9eMpT
LwoAtil2uHDhyq8m2N4M7cZ3k3wPeDcJDgxdyF4sIfK1bN4BYecIu5xgArGtp89WKBsdcWcd7J4u
4TcxtRvl7SH2QHqb6MDQPjb5N5U96r8f7LW57XDM2Noj3nSo2BHmmCIIij0r6s3V/BaWdkO9NcIe
SG/RHBjQnoJk2zoy8i7xEVDO6/yiS6l4xfYiR5gyxxZ4IrvfytduxHeOsgfqO+kODPlZ9sFXNURN
/v41DrAL4nKbvGhsF9IVm0sdhIDrgtVmP6c6Job3m1jbjfz2EHvAvk10YJhDFr2Im2xp3kOLiyPO
kIB494shvqXFMSSkCQNZMFnrb+NqN947xtgD8B1UB4b4HCoz3sXt4hA1w9y2oYbkh7beWOLr3IZj
wz94Un6wP0e7kZ7Q74HyhOLAEF5kq+I93C4ImxCIerrbdhrobNfBsNInqcm9OdkN7Cb5HrhuEhwY
rCd5uarjZfYO2pmA8iWOzSjeHQbF9pENK9vGkPdYfyba+S2c7UZ6a4Q9wN6iOTC8z5dNs3qHdQz+
FoMEtOO+xLzRVtAbnGu4zCCAsulw7c/RbpQn9HtgPKE4MIRPiuE9bG0OhSQERLV4KTKY2tp4HV1x
OXecidm1Lz+70d2g3gPbjd8fGLJnUEj8HhY1P4LEJBQBMftVG4vDNUhcTJbu3gztxnaTfA9wNwkO
DN3zZfoexUFQeg0aWCAoIHj6bLlL5MjFNuaOmOQt9uVnN7Yb1HtAu/H7Q0NWNR/+XYSrbPUeq5cd
IZsQ6vxYvSB+Nz0kyFyBN8wETIL1Z2Jmnb+NuVfQ3jHIPqDvIDsw7D8bKMzP36XsDxJWDnEZ1BE8
4bpVxkvQEXUIxg4BW+zXhNVbeNqN99YIe4C9RXNgSF8uy3co/VvnnV3QzaB8n1HesquhgBfMamQ7
Ezd5X352I7xBvQe6G78/MGQvlo+QkXwHD5kfQT4S4huQdH76bNUUoCPEIW/B8KQQf3+OdqM7od8D
3wnFwSFcx6V6l/1T4gjwA4SdF8d4ijEEMF3OhEPARHv6bMrqdbJ/X85ew3oywl5oT2gODO97UIfm
XZY0bJRyYDscei0TCXBDLS9GHE3c5DewtBvn6QB7wDwlOTCU18WMfrwK3yMcAsFNDMVCEOCcmtsC
ygugGN+hL9705np+E0+7gd4eYg+ot4kODOyLVfGoHuJ3SUK5R3gd9RLixQabynBCYXuk4JS6kwDJ
m5jajfb2EHugvU10YGhfrtrlu+yXA/HMiQAB/mKSbZnbkF3GsNeZuZNwyf4c7cZ5Qr8HyBOKA0P4
YlU/wIZ8729vVgCbWxF3ucNfyr+mAhzcZuZgF8Il7IdR/qvzvD9fu3Ge0O+B84TiwHBeK6Z5vSwe
4uZB/dCVf0dTCgGFAQgJyEfsjmpDPS9s0MC2QyfO1QZH+0zA3UDvHmYPvHcTHhjsFwq09T4v922t
SKCTAYTDXEhWvOyy2qr+hK2UjID4xpOg2N4M7UZ7k3wPlDcJDgxdmMLrfbC1Gf9+iClETQTDDP2A
eEuAw04M4sDan6rot3G1G+cdY+wB9g6qA0P8Qr2L5b3edWNDIfcPGT5tTLJ2pwFrF4InP3THc2OS
ffnZjfIG9R74bvz+fwGyf83ixgOv+w79+8e73aGX39orSgCijHMXv5K1AEQ5FkRgCHruiIfBloif
3a2ezbJdPO1G9VfajWd8fsS/fin/6zpCwZzUq3r1DluZQQJzwdc74V420uxwkrjNoWHBtKvIW3ja
jeHWCDuA3PgKup5t0RwY0ldgPofvUTtAoYIPqucd/lpjEeguY0NjAj5NKu/P0W6UJ/QbgO7u7Tah
ODCEr7Plw+p92k6A7lxj/CKNd6xkqPiCeDX56UT96gzvz9dunCf0e+A8oTgwnF/sxGz5LrkJiHxA
GQgUAr0W+cBH4C1jCG5NaunfyNZurHcNsgfgu8gODPVrqBB5lw2vkFqkXMD+qBdTamo9Q6gLCnLB
W6YTwPfnaDfWE/o9YJ5QHBjCX82396gfWOclMBTQg/vz9Nmq7YOWE1DX54Al9sOCf/aO9uVnN7ob
1Htgu/H7A0P2dvlQQ+++Qr9HktGBtl/Q2o3BpvSnz9b6XUe71v9A25H1B/JSv2rnt/G2G+sdY+yB
+A6qA8P98ypa5su/P7oF+yhgPwyHks5XNrxB2BoaFGBoJPNcUDLBfH++duM9od8D6wnFgeF8C3Gt
98AZ6voYdTmU9r3mQz9VGHAG1UOTVb03R7sRnjzRHghPKA4NYUhAyRU0fXsPCQ67ZmzoGwRFfj/9
p43ibGgKxRBB0Khikk4Gs/cNXL2C9PYY+6C9TXVoiMdNGg/KvIP0hkbaFFKK5Ee73ekuKZDeHLau
21DWOVnVb+DpFbSnI+yD9ZTm0JB+mst1sawf36cyCHrJQLUfFHu97K6Zxk8whLuhOBtiLBO438zY
K6DvHmcf6HdTHuAEODdx8+HqW9yU7yHhbSj4JBxKgiDh+GKDb0p42PcK+5uh7d+OKfBG1l6fA7sG
2nMS7CI9wFlwAQd7vAf+T/XdAqJqLxp+y0cDe51AUM1lE0t9reH3Zup15DeH2BPzTaLDQxuKD+Sy
/vY+YVS2rhta9wF8xUNbZzBdB3w0OBTl6bMl+t/G3qvY7xhmP/x3EB7aHIhX9bvE0KFdCUewrc55
jrjsanMAF2F6QCfQF3WwEZLZm69XUN+k3wfuTYpDw3ndzPc9EmMQWqWEQLPIl0W+VWSEj/i6IexW
HfDt3hy9gvAm/T4Ib1IcGMKfDWTD3iO5DV0PKFoH0V4vRCHuOh9mT1y1/TnajfCEfg+EJxQHhvBX
lb2HYQanoghoVgI7Yyc7dCDmAhcEhi6gm5p5X0Z2w7pBvQeoG7//vwHp6yfV/Tzsz1/q5ezpmMBf
Dqv766tPLwfONpyQviQmdhRr/dy2fPL4+0fYYEPXHZh/qSpbDzRJa7wYzj/Q2yRcwRksv3+0MIRa
ENjdnHMBvhnjMGa3+nkJ4uuY2GC2Q8vntRIv4GS1CI4yhKpx6AwLFYfrlpHQVw6oGmVeLmEkQGDA
EQ1QXgzlpz/PcbxW2RCq4ueLefn7Q2HyaxUXuvn9IwRxy+dfrbm1ERQ1wt4xBzrqwEFbAurQ4frD
8mbd4QXewv9pTGeqnA/dFVLXdchmQyL8X17KjjsAp7/cYW1+QO4XIk2QzYcumdCaafMOvBMpNcKY
q4Ylp7G4t9CVa39q2DEOrrv2ssGzv74fZCH+yx3XHP3yTKR36njEmblKSmNJZwi1K4dGkVyqUDWf
ulo5p622y0ue2oFs+JwnQzWrgj6wZzrXYpaEBf+zh7MTTjiNWjlUJfNxo6ikTnRuq+y+cEjqlTV6
bK30u9tbfxQjIIAJk0KxRCYhnOdYDJktKYmcWZ1ZuczDODxmKV80QxbPodiUzsMyVotg6Asv7uNE
itpQWYyolgGJb63O8UoT3zhte+baVEkRt+dWFQBKSSzzwCll1WmfDVQOvPsUBFknA4seK4Wv24hK
OIrrpEAmlmkSnikXS0Otu9rCoWyLP9uRXvciOm7F2MywbhaxZgtWOqdRbPcy4qqbW2XdLIJouFBG
jLdCI7eWtT00xa2qIn7Mq9JLcFEdVzyy9KexZPCFyeteXWUhO9cIi8siH+1j1ujRzw2tvqXIOee8
u7BYfl6K+KRPu4vaDS4tlF4OI/+CM5fLyrJcCQ125zWJH5iNHjNL2bPOZhd9yU4DQv02Lc910M2M
GU4GGl+jsfKKoPLjfjjvhv7cOLXy9ZgjL7S7s6ZFXypDZoypUObFeGdnfSiDfEgvY1NcF6leGKe7
TMf0FKlUyL7kSKa67mTVO4Vs2hRJNmSzJhF3lR5qmVgonJO8NCfGdHqRBaT55MTVcJ4Nyp43DjnL
8kfX6q5Y5Nw0psYSR5mWUVTPcZmfBll8bQrrtmuLeWQBLKrPZk7sSpHrRxGZUWKefCJhN3NNbmTU
Yx9aFvosGT5poyLZlK3HO7bo6naOWOBr7sgcI18pdTsW7DoPqsrr+qaVOkvbm36IbniAT+rO+E7p
/MHSwuuFXX8ukUW9JK6/F7SF2eQuaFfIcQwyyRDzcNquUBeeFYb7FcOJBxLshOQJ9yiNZ9zqJA7C
6yhuL5idHFd2vuiRPctE4Zk+OGsadVzbrWxG7duNdQnOqU866wQExafBCbUMYtRIyoJ55dJ7Vjce
gRXiVWnRycLOhuO0s7OTOivmZRwaSQfrNG3Gz03ZRXLI9GVcq9ukRX6StDCtg8T1jEOWrkmWiXAu
VJUlsk+61OuaepBB0+WeHbTO8ZOYeVFGL3LtWZI+qHKo4zB6ORT355//+qxy+PfpqNX/fLk+U/c/
fy1Wal3q0Ex/tL7Pz1/BbV7uu1YyG39sab1X9Nrzqb2vXHyT0lvHB38eu7ul9J7r3rY13lNU8YfG
g3YR0PnWBpW31qEIUko/NR7kmRxoFUM5dPKyYVfUfzSeewQNVinsmlkrCbxWaz81HvRXxtDUD60d
IYh3gAr98aAbOIG236GP6PqchF800lrnCejjCtoV+tZAETid6Lx26FqmmeiudN+mHtPpF9UON0K1
7Sxzw6scV8mDittCxgP9TDVNvJZawa0juu9WhOaE20yO1Bpl6FQzVGSwAkWYzeI6+FaHKfb6TNSy
NcUNc7NwgVwVLLo2uHDgQGc/KsU3Q+Nb3o5folxzmPraSFIyr1dRfpyK8pSWDagLESWSusV8zMgt
3MvvNDYSlnHkEzNgmTgm8YKRX+jUvYMkfSSLNHxMGueC1cEnxPqrKGyOlcClbNvhE4kQmjMH1nrC
2uueCDVzKOFSkL6TeZZ6QUhg+VcerUxyghiJZVfiYxwF+dzVqpmlsXZmZijpjKbBgqdZLRXN3eOg
ZJ9rV8t2cH1D6cyUDZJVbcdenA8nI06Yp4vIkSEa7233MVeBX5P+omnyU9HqPwwaY69Mml4yGrfS
DCCAeGsiaffDqkXqpMViLqglpIui+xDnoXQdy8ucrJKszmUYj8cJEVddLC4FC71Q1ffKsr+BcjgT
Kl1Y6ehzKryqwScmSD+RgRYytPmNA28oiEUoLVXPuyy7rJl7w2P0Le1HJHsEktlGeJSu6O5ywr4m
jntJStF5ui3YvDS4kW4vznDifLYyWnh8RPdxm2SyK5KzkQZ3ZV9fgvlxFtapK5ssWzEr+rNvrc8l
Ned91N9ol88Rt/4wVvKQuYktbXtovboMhRwz5cxIU30Xw3CLjBXLirkXANN5B+ZZVSd+wL7j0p6B
PixkZ8Z5KVTjExbfqig55omjJArFYkyELetC/UkL/pXmzdoo6ZfMdDC/cFWBTVKkstXqHLfZYwAz
0q1p7jOiFjjjp4YPx4prsHHApCER/Ww34SKMY0uOQXWNUacl6Ineh9bnkaytIfGtyDhyoGCaIDe9
TzS8pLGwEmlHjS1ZTm40L2dumR8PKK/dWaOL8jQIu/CSGHXfN1+z6oTCmvua61iqoULHUZjGctTs
TlVD9GnoavckSDOw40TTL1gbxBKZjnmmwslsMJEtY6v8biedds87XOniUxAFyQBGXVqNd62t4lTa
be80rgyDlN0WAS1TzwrpfcwSNWPY3MKevlEGA5N9wWzf7Vo/c5LEF4W7GMqu8S3sOL7u6uw0LpmY
5W2AZ2VHv6rWTmbjCMsti2BKF53moLxrL7Zt6llx7oeO2986Zc+liqKrPhofie5lXIWOH8fVHIGC
NmmOZ2OPg1nBnchPnXCeCXHZMyZ1GXsjcr7ENpgNDlit2onmXOuT2KGyRoOf9eo6i828bC3tjVZz
psqmlFarT1lUhJdZ2t+ljN/C28WLymWXTVJf95W5c1P3uKas8MKg+9Zwdq8U/SNHIpMkqLwko7ms
qnGc8y6+t6OeSTXmkQepyMsuaF1ZdLTz0ig7R924gG+JB5YsWKba/lpavJSksmY1Tb8PY3VXJuK+
rOKLrGbf6mZUHsrFFdfuKTcKjKwKjFZadVgOOrQ8FOBvqE9uHFKcA3iVdJOxkzoVd3nbdrBCqPbs
zolmlRP6fLSYD+Wlo0zSylcaFtMAS0+M8JwROWnCtpVxpG8SA1KA4FMwTs8Co89TO6s94Qots45H
MmhzV9I4z6QRTuKzHI+zINUrKxr1XLlVMtfGjWVZossicK1Zm5nhmBT4dAyDpTXk51E63lkDJRL3
w4PVVsntUPa9V3fdcdmwQuaDm/oirB46hWJp1aj0VF7cxQ4/i8ryIR6F9kKC8s99UR9bBbkTxORe
UAIamQjmg0mR7wQOiI3uRORl4AfcHJcJaIdSP7ikY7LJM5hrTW46W2YotOrTGuGhlSgLixn4ps28
CXTj/knyRouL/28RPYUBCDiYr1tEsKvn537x/0QA1jQ/IgCQfAdlKmAHIVmbN2t/9Yc9tM7R2HCk
PYPOl+DK22D0/IgArI0eCu08oB+qA1ucGCT0/hMBYBD0BccdyjveHAGgLoQZNu0haFvPuAPuKeym
gijA+vov/nIzongwtuGXIS3G8wq22ZSNVE5UMd/qw3YcQeAb0kqL8CjzHR0IdQESvDEzEyeDjLSN
sgvHxCjXkoRwj9Br0GCxWWAZlrizUBekkHQEq76XnU5M+KUzuVX6IwoZuMapsNzypGE1SE+3tXn/
ySSCSBFZKpyDs2KBV1F8IeDMepTRY10IRzZNq2XVolbWMdgBJrSaeWDQ56QgF3XBs5nKQUsO6KYY
4lpivJZcQXlWqvysqIJz3PX3Q1PGshcqgBWdL0x5kuVhIIewJDLmSeylQocy60UnYwcUhwlG8J37
8UsuXNB+rZFZSKVlmlSWfbFWeaL0u9w5rYvhkfS692PT/qF7m0ocZmd5jGw/V8N1o4ph3vGWe9y4
xgvaSntUjL2fap75aCjG2WDXtoQ2yDNkm8EHqQUundM+Wqw/y6w49Ewd1F4e4Me+L5Vn7GaeoOo4
tqvMy3F2njik9OK6vjf2kHtJ1Z03JjVeG7dkNip6azE0r4Qh8yANvNzKcxnUQXnCojSUPVOXCVE3
VdV5gSjPYj56UZ8UsnUqiUUFajb7xkAVyjpqfU2RbLPUzyJmeW0ZnrIgn9Wlw2URjBCD0H0i60yl
c2cQ1tyi+iK3RjwH6zE5R8O4wGH4xRRF4qXKjRcU3Hnf4iGEJupYMld7oMNPW9MmskL1l1ANMBNT
+2wY8K0O+xnvM7Bne3ycFslNWLTnsU39VMRGcj7Gs8AeMlkyKziu0yDyUO9eI1uJmVPRlcpwc4yh
4ZlnF+rSxoVeRDSfFzS9g4NT7/OkkqqsriwQy6AgUiIZmGiekyXzJMvvO+H4QxZJg+hXVBrli8Re
tF1226f2SRFWg+RBlMvIiWxvaJIWJjqJzsqyxj51RzBruu5LISCWkRD9pQ+6e8yaz6xJwZ6tx0UR
uVdJY3tW4khm62+9CCAQUXSdZ0Ra+lWKfeXg3Kfa3AbJmEqVYDNTQ3gSNiw8rnR1Y/j4FcyHPyu7
iUEjDwmoz7iaJS3DHkPmro0RB+ONxb7i0allqVMk3GUxOjXYjRXxiMK3rs3ncc0+g0G/sKi67lDc
yT6mtwwil74ToVzS3roMI3YRi9LyaBrP+zj7EjNRLAo8LPNw7I/TITw2bc2kFTmuV1hp4dM8U3Ot
i69JUbXwfmIFq2x0zlw0OL6L0QJ8hfo85uk87wRMUpKxGewb4xLiDvOsGa4wZqs6g8CcqqvLUgiw
DoPotM5pNuO4X6Wxe5OwWEhOy0DirB8gEjF879o8AV8IfDDwdZhHHAEBtkbjRSY65QWZueVBClMH
WqrJFFsKJkA8eBVEdTymouM07Jc80sVM86KY9dy9MHZ1gS22SnVPfQjjMFmnA0woLeajhb7XHTsL
VXw8jOprIUIy41F1ImjaeWWPz1BdtXOnt1pw5/gN6wk7CTV4N2MCogST5AKn+ekwRotBJ2dwvsGn
pA7O8iw5iXR1G0TVd927jV909fmggitulZ9LZ+0xDkMlURTyMxfkIshGBSs3ozOhTLdIUvWlUHrw
RAd2SNYE0g66etaFXHtx2927DbiiRlmwposSBo/Trz24v7Ac+3lqDJK5Q5Xn9iSfp0P0hXSrrh5y
KewknhUDO4t4/rUf4I1i19xmnSazoFX3dSJcjzbWPUQMVlGowTZLBQIH2j5BjQKzhf051uh7i2Ey
lAX/XNYAWAdVDb6dQWQSh0U1r3Jx3SbpLKQBllbYWTLL2kvbSm/gUX1wiq/GnLG5zSrHC1sLXNlM
nEPBM/UjB50YlcaeCZz+hHX2LSmDPyLhjos6i1d510DYlHW9xN1YHDdpe0cLNXpc9KPs+rp1G/n/
opX0awDIhoqjvzKQft3u/lyD8JR6eKL6aSJBAeO6dTTiEJF5Tnf8MJEI1Lmsu2DBaUsObNdfly+9
mEgMMit43ZQBrffoE/C8/mMiETgkEwaE1jsOnFbvuPgtISO8jghtZElc2OYAvck5GGIUDlSGVN6v
FpIeKWgDY/pL8HfcWdsFUQnhj0SkYCR07Sdu2cNp0rdFOkMo1V+1Yi24W01fycYtqi+/vL0dAax1
t/spN1DKCa3yoTMUWxf9bXLDiqFM3ci0l6Qq8GWYjkUAHgtIcq8HZ96VbcfMV9GWEDeoc0dXXpXU
oNqDsRHMg324xaOrNbqCMSLjkyzDd6NtOXgxcDtY4cHC/fyvOV4bv1scQxIILFY4kRryWmjCcSwi
wHbQl7S3Q/DX+jG7a+EUWzrXAgQsRI96nPixCBw5Cj7EICIQXeRtPWC/bpV+jPqmwR5497bf6FhB
dDuPwPYTtZ2Gs1Al0XVq3NO8caPGh3Xv3jdRdZZmnd3P4sbiFzFYK/nir59qGwbYkQx6kQg4zJPT
p4f+xWwWw1oQlVlzWejAvVchGNiSpQSmRlmY/hqkh3tbBjj7469vu55rv85FaAgGxwcKCueDQnCV
0DVbv9zWRn3IyiYsLgtnxJc4jcxl0UCgwQmi+7++0zROur4T+CsI8pZQWCqcyTwrCwZuex2pS6dE
bFl1qs4WgXYGItMymqHKZKNHQWkrL6F2l/+3SbOeFJsPChMFEpMMzkGFgzKnt4e+D3EUFnl8KarU
XuaJsZdptubBHvNmxmul5IAA+kWXVR2RVarESmduc9K5AzvvOa2RR7tEpV4iivyO1iVYXJEzDKvS
aksfWWMuPNtVrD62KR/Ns6CHuP3uOPP64K8p/2ItNqD8DjwrKAHYBApxYxe2HVgX2AT5Mq51E0ps
pbpgazVdhKddFKffIC5UnvdjBeEcxfrYI7gV37UYIT4yRKEA2yNpV3FNxWNrl5E4/WuImb0FMrhM
MInWJYJQHAppx00uee3EqI40vUgggxe4ENxyo3EB7gt157o1xqv7Cn1q88GGbFQUCa/GxaIhdbnI
WEm8NKvymzKz816KrAPHLsnVydBoLUu7Ku94kzp+UBWBZ1QCecsYoumgcJOmuOxKq7mqrJHOwhC7
ibTGoMg90kIU3OY6uyFJeB0OBe1lZkR1qYPqsya5RX3eEniR8UBANjAD3inqnOQ8i2zna4AMO43A
1T0fw751vQ5FLPdg0sUnlrO2VbrBGX3c2ZY/Jv1D2VT61iBLRLKDvO88aCpzwgJCPlcR7tJFICwM
8ccoDb7BbvYagkhFZf1pcpH7ZdmQk1QV5Qmu3OwxbkuIdpU0T29jN+iFbCsWnoKbZrwB3sMCM+Je
VV3ez1hXV3PwRzEkG+Cc0NBrO0gjeC2Jglne0No3pXsVBVaIfIyVPgZVQzqvQAmXjhbZH32OojNS
u+WtTbW9MG5ikXnD83HpcFXPGgiajfN2HTu0+h4tSZN135uwLG1vJBoZWYSkDee9ThQsjq6bDWFr
nHmtgsjPNM2PC/iphE7RkETlbd4KmTRJYnki6AQkt20wi5jOAo9qq8gXNQebjJkBfeooZn7c1CiT
CcwkPae6c5tFT0V/ztNxzIJPpqs0+JpDnA1F/RgFESHj16azepFH0q1BlKsHMuSJprU02hgIs+kU
Qrf9qRtX46J1jQ5O8jqOS5mQTN0iYdGTZKDUQADYzcB1r5DbA1w5hGiLIAB9CDnQrprxtAuRV2ca
B1dRhbhQ4JaILvKHPnP1OW80hRnVBQo34GOBLpxzK0qCqxaWDg+9ChKnMOFo2oCDmMW1K7MKlFcw
69uYe1YA9blg0waoYHDsbJDnXuSaLoCkgsjyWROAVTC3izAfPWe0QWIWJGXGy6PaymTbDGFz3cTg
g89UGDvfLdOKGPlIEb2ImWMcMHKDMDgtqNBgZ3tF31TjcNzAvp46mpVhJPJZ0LRjNXfrpojnQ8bz
4RhBeqX0bAKVBp7owQ1e1HEVWx7ASr5YZT6CH0p5mvvwH7KusgRZDbzyoviS5Lmbn1DI6GSzNNL8
ZjQakvGJpQg+i7qoEQXEZUikF0HdlsUtKGN6moQjSecGCgaKmdJZOM4c3I+u5yQQJ7jInQGmtgVL
pfYDjM1pTW0788OAhgbi6i3AGYsG7JNiTOi4ylLYrug7wAB4uP/D3pktWYpjXfpV+gUoY0a6abNm
OGP4HJP7DRaTCwESSAIkePp/EVERlcNf9Vte9EVbp+VNmnm4+/FzYGvvtb61WQVmpsDn8YnxrINZ
1nUqKvnA63KDnZPkntUjvW9rC58p4qrdcjG2m3f16z6G316zBC8XwkwVrM02nBseWFZ1NG5svv+7
PKCcwrRWLFKFsxye3uS49wIJZ1i9nOM+Cm+DTfKN52SJvejt2ttwvk1Hug6lpGq6SWaJI4mZrMM3
UBHh3ap5E8hnECiyuahV9O5gbLLxazCx6W3chsmnxNWizkmAi/cwS5dFlYFigRc/B60o+0h1piC2
rnjA1XNvLTqLlrXLk0lS+3nUTQRyw7K6Il3ih7kkNX5O0g+tO0i9BLebG6P4wUxJ8DaYPPwLm3qG
FFOwZq5a4OPzk3ZhaM+YS014x72Mvpe+2i/OtlXmmPWmMfdujSdS+Mris2lga4lyMCi6V5xg9H1E
fFzdAlVSl9hi6oYzZOU6vG/13HWPIZE0Pru4tfPN5Ka9+WxWd590XuqqwQr86mHYtiXHLDltRx+i
Df74/aVb1Ce8rlEEt3Ei8VfMoAvqvOmGbitot+DWGXu4Qg9SZ7jl9YyugOFrqKkhjMY7FcSrhtg4
NjAPG6vdDMmpgZ7J/Vm5g8MqqahaFxXuRQM3U4G/CAXE0WDvkycp3sNToxeycE5y6DcdrouVpZ+s
jPAynG7Xx2hyvrkytLktXBbZtU8Ep8XRSD+4VZSpZxjZqcqbuOHhZSCMzte6GdhSrjpTsC6yNTqO
Id7Wws/U+qXru+TezcYfTspfl+6DTQWsW1F7ArYJ3WsIVz1s3xTxr4qHa2MOYyroB8+HOSvsyFSe
xShzq7bNIx8mc6Wia5MyCXXIUPaSGMdRE1JM4t7Cqj6UuE02r47oOZZDoL4JFOT1gkdg4t6we8Wu
2sTDO+qWbalwyFh1DfQcpkVN+2nBSRstPlpv1b5outC33oo2/bLRSQdfJyNXA3MxyJYztyF+lBNB
sxUxRAZ2HvGx2MLr4HxucNunG7dmPVAOo3KSmVMs3JKcNpviw+n8wGzHse+G4UamLn7jTX48VI2S
Yrmy1Y4woRIjmrfoRMxXn0qUEZROcC9dYyzMWQvBEqfAqp56pgL+MRi2iCz5hg5sfTdOkUfxw0yt
qybzOnbx6tF+bpjvLUWfmbQ7c+oHD854NYSCWRle8W3GRcrDqYUi0vVbcivSse9zNS5+ehMHTeyK
Fd2NqWwz4lOzRHKW6y0TqB3G9FXgIqfLpQ+JPm5E4ervYseycoVMbeDymFR9sMkavG0bjWsNJx19
j2tdmHtJZYACG460PRDRpNDh5ueQzJYEedct2bsklMqWNmFTfBPXPVkeVW2oxuGOK7oaeYRPE4MD
6CgeTd3wJtNjE92Hzu/Tc+0Gir/LOY/ddNobbSlMjZqBbmyebvq+xuvXtGMH05CuKa3z/fOqYtz3
K5BH6LR183/JSbrhX/Rghtfpj3DNb9ma//3/HoGzTxL/3m/an1D2W/nlB6q6f89PMQXEKRZxBGkc
QFFBPcPc9ktMif7h0zgES46GFQwOvvTTb0KiBBMq/KYMX4QOgx/4028Cwpzi2TCYBzHn+juM+lf4
m+iPIweWiSRYJ4IjAq8dtsj+9d9MsDRCyfWVTO66pWdXjwlVPznXASZMQ94dLfChfN1pDkWSkvG+
P8c6sUUye8mpqzFfiDUUN9YCMsjbnvgHN0PhjtEf5ZEI3pBEtrkF25Z3TF48oBU3GYiF3PX+AaU1
ydnUHehGviWoPJAeLCvrOt5EkTYg3py9trI/eGRpcLO38+O0mHO4uPSldxQ6fNvQygbtsUe93qLx
aEP2qAI5l366bqUJ26WQQp8mzObU0G9ZPT/wiNxtipwhOT9x4h29wXz0GBmvsh6uqqFn3cT8HFD7
sZ9YQbzmSYTJO7SDDsAp2Iq4i8anwLBnBPjPoCuq1q+fI4rnnjcR7PJF1SAWF5xADcdrRrVHEwKS
RI97x06vamdYOx1eO9Pfqj4EadqyGyXiT5j77qZNvk54o3NgPsU2WItWdryIrMsKgfEjwUQIpybH
UxnB4GwS3VPYvsvGCC1ktl622vtI9I5mxHXRTO15ZtCvVWa2iq4NTETp8jGo06K1wym06hl+wLEb
vKFIIr0d2Iqeg43NFwOtp1jHICnhHBxTj196RqEAof2SYxyCfsIJuFtaY93EVaRfAaf4p7RLaVUz
1e1IT0my4NVzMDywRfBO9bPKN85lsWTqLdHEe+PR/tQl+qHH6UoXTHPxAuViGiEC7ByM89n6Avft
Qlj8NUtMBLsEaCHOjedYj5eExS/O3x4U8d4uOni2Yw19fWpeMxGvh8F2tBpNeysy4IvG0VzHgSna
2X5zhA65FySsaEZ2aMP5y9oAL42S6JAt3Rf0H/h6q0d9CHlqPi9QZN64JGl6dIOOHScEQ3qU9jU+
4u9PT2INnMzrhM+0WIReM6AgmadzgWpQwtyVFCQzvrnb33F0rl3O66nsANcfqAejN687jxVybJrT
uvh3G24GQJltduw8Yh/GGKSOs+ElitqoiBl4CIXv2fjo3bUMfmfm/AE9ARAMnaiog1Oy+hXYLXcW
mQeGSQ38QojbjtmS2GrgfMrXxrLcX5aDncQX4rM7tbAhR5G6iWaFcYLSh9VkrDR9e6tSeLJh8MGS
ZH3SOKufZdDCSFQ4BaPAlUGtx4pMuCB1GnWVxGAGlm8CrTOCHglwz+5PxTmKkHqYLXzQtBY6KbyB
yjEoo5m33nThgglAhvkMbSufe/C+ITef9ewdgwje7xLps0yBYkNLuXh4vMoF9i0ph7ENAFVL/RJm
Ks4TSYAgsyXNY66mXDZZX3KhR3DTvSi2afO/qCD8iHmqPlCDf2u1JUe5OVSlrk+Og5iG3Hitf1w6
NcDx2T/fOhX5FtdXRZsjuv5bMCttYbf50lL90Fj81b6XHAI2XDE5HLmop2qgvcnbTd/goSCkcE02
ombM+IS2Hu5Wd5jaZj0IKR6ahMfldy9mIMmVsBkT7+gfedI9+4s+zp552jpwMn0POx2Nc4WW4wb8
MgN2AuKHZ/pYj+Mpnc0rXJgGYO8wl6PX44btAAvdECfeCtP2b2iz3Eu8o/kQc1qJIdE5A8qVtNOH
NZUHG49XeDHfHCbKvB/EZeqsq1jgjlkaP30/GP9mdP3/2CEU2Lj7PXRqpk9/7hT27/3VKWAx2x4Q
BkYSADbZJdZfnUL4jxhL3WAx4GHK35nbX50CnrDsI5RI8bjPDM7Mfn7/7BQQWwkIDCEwsNA9Mzwv
7i90ClB7/yChAiuH7IxnYMAdwH97u/K7TkFkG5VLstz1C4dAVmg1+JfeBfFFbtATizYV79YW6Grm
vDdE7o56IhYc/mnZSPiYwdS+dWy6dsQ9Lb57s9ZBm49NSnP0zhiC+AZtaXpvxXqbieic8DSP+nrI
FTF3ILcu6TinhRPqzDfEK4QxUIlQE+uMuqOOotcINDswc1Qxn3drgUY7rHTn4eQh8WFuW1LEPTQ3
aprnFUgAONB4rei0itLX49s4nec8nr2wgItRROPmFyugypjBCdWy/tDToJzCdC20MWXC7ed0RsNT
K1HiWfZfVJvxYkn5xxRzbA735Rw5gqEWxjfUmo8pi48kG7eithGQQe3lkRGnMF2SchnIyTghyjVe
NEQO9xke8mcxOYSAGpUncLC4T3kh4u7Yde5MIMMfAmc1vBj44oSNXxmIptIF8uM47F1Xs0QlgLpv
aR1ut6ZbP/Exqa9zwiEXJ8jdwKWtPEmCx9BkuowhNgKMRKMy4KQ8Wttdg0QtzwSncgQDWoO2Qxu1
xRmvYsBGh36N/KKH9liRpvFzRrchn0NpQCERcDPoHQ5k4GNZ995aTLiac226pvI4BNHV5+ApfcOv
3B/6I6F2egqTZXtvt6UpBx8iAvoi/2ZNBXx723XPg15CBJWy9ONihHg0OlD3DTrTMwm0Ax5VI4Oy
9sMFQ76ecy+O2ze1leOucSF9ogFs50if1J8d4R7Bye2pswz9ByAuQdU0dnznr3jjjzWcvRevpew1
Jv1cCRpCp5nWueoIKVYRwjtEfilftgnXjYZ6ZMIbHHx4122lLHtjpHqG0EcLT823upH2VNeTO2T+
4pD1GeghS9D3xW68jadwgoXuwwfRU6UCeoU4yvKu59COom1X1Kkst3gHSwLCy0ys/mGYo2asEETK
Ign9GjjGzYCY6rXDofeeQmI9p3jibN5AhTh6RG6F8fSrC2vvBAWudGTlP6yKv4t5BOPr3497PxaS
/rmM79/1q4wjcEExUCFMupfq3Qf/Vcb31YwZ2X08MIjfZ8Gf7jmeL4QvYUbEwBcHqLT/KuOYBbER
LkGFx0rmOMqSv1LGo+yPTh5uZUQ38GhvihXe2Eixf/03A1+M+iGjeg3uElAh3YkvC+w6orqbtu6L
eEOAqtk+1OBRQjX1R8ugbfEGMlIDQmVgR1r30IhBMOsJvmM06Id0GY5I3KKRYEUqHCqfgSCMHsN7
HhgDU46Kx+4C3Fw3A4fymSaIJ2TB5nCvQz3BpPa1j+E5AXvsIGCQ5wyqCRIR3nSI7fS8DeJkw4iV
UbLccztFlZIex9f967aATgmj6GanFeC6IwvozSvEGv8bH82r3cKvxBvBVc1dUyDp8CSIAyHt4me7
eh/0Fqc5zL6yBdVQLBu9lem6Xr24e0x3TNchMpe7Grw5wjX4H/Oa1HOMf2i+QBwtg3AIwYxxnmNg
DUt4CDhphuiL331M1vsGGnJufFRWq5EBoE1ZZ5MuQWivMU4Y3wm0qVE0lWO02rM20UQ/BTyul4o7
LU6NXBrAPbI7YUpQVd96cz6hfFR+jXEFc7yrTEj6A6pXd45CzEBFyjFFrcxOD82qAvxhvX5YwEUA
plxUDmwZb5WpGcpX7OeNavcEHlg6odKPw6ZR7ubOVrGOST4MpqumneB3dIClQevkmGZ2fcC1Geft
3CLtZZeiGdLhQvsNxCLgtZs68dvS0tlcGrZkR6fZmsu4n02pQozCXhPVx6CbX0M6kKNq1IyMWc1O
Qep9XiZ8fHigsaqAhIHQVNAMQAoMp9hPv1FkDjEewB2TIy5VDS0bx7gpcNb19yRiXRUYmeadt/KK
BhLRyT7CYLyY5Ahq9ptwAT3CdWkQhPH6+2wb2AXvHOh0nBOfyAC7MVy5f6r9GO+Njz5FhkuH8WWC
qAZPvsPl5MnPIzxinJAo0iYxDcY8T19tNtgrs7M+At4Air4POyO40QofXoysW/KK+T9GYrF5BZoW
HXcOt8n9TUTHlo6IaRASf/YFpkIke3bXE90CExq5yzFeMErbwMOrlGnZSnCeuOdgYrahf7IbJsiq
acnmVy4i7gBOV7evPYDWE0HC+QE6siohcJjrVCPCeo0QWNC+e9sjcVr2PqKwMqLdYejV+9WjrPC3
esoHaofKNK5IFvPsMfUBG62QvsAZXTVig1Uh4PG3fgbGbG3fB3K4hzvBX1a6ZQiksObNOhMwkiPM
5g0yi5xInqTwvAaZqTOd029Nv7zMPrw4RgDHUO/VttOOfPLnyGsvfQw7FfnkI+i0tOiF3osIvcFb
cZ47+jrgPvVmXBeTIG+hit2roLlAoshyqYfbzI+/hCn9sPQexlLt7qdNkzPR+jRs5sls9B1isnXl
A1Qp1KyrpQXWwmu+HqNwQ+cqQSQTIa+WmUKT5pH5YH4zVo8YSSN1Tfztk4MZgzxReOJDc+my+o5E
SM+6SJUrhj3cKZC4JC623VKVeSwp/9wSKV/SbmpPLFo4fAHMsQ55jwuehIIITjoYjLXiMzUJapY/
yyqN1P1gvafUmB0Q7PiFyRm38sDGqlstwUtCoGT1pvSA7Eqa14NlDwJryHKD2+Vh3m+eza+R6tp/
6TQmTdXWnB59wNWPPdNjSUKI8qgw89G06Dq8BC3fGAdrtbXIhQEG71FhsvW4i3jwMjn8PUgqFd3g
eKc6eYVFupVdvJ1BQt75Ul1F1L5JZieqyPrhMbLAPiN/rA8ArvihgY6JUG4dlLE/QHJKXVK2cLR5
A6Wp5jw8htGeuG3xahuBuza0FvypjFgOuL3P1xFVyld1cLQSf2mi4Ug0CyLDcxukR6/tmrwVyMwp
BqlOCkCfKFP/REf+f2919qd3/KdW5//0SMp+/dPI+uPbfvU6aGj2hyYSjIM/WpN/9TrQvTNAf370
vdPZFeyf4nb2D+pjPTUonBhP7PqduI3FaciAYj15imcSxOiy/0qvAyPrzyMrpl+M0pArQp/+MVxK
HFN0Jg2WD/BpvJCexsgjuCuRvYKCrd+nmLtUiy5IDlm/fWsGo3AbrSvoBeTGYJz3D7QZJaJOSHyz
+DIYMRxUb3gebOgQMqDJR94vqPFjc2Dd0pyBVSDrPta4Ja1hOMMXJQ8iG0E0I8zwTJsV+iP0/TyD
t90WY2jiy+K87ZKM0mGoXvdefQbFv+7d+4Q2nlH083zv7NdgQI8fdPTc733/uE8AkCm7G/JjKnga
v48JZJ8Yxn12WLTnl9k+Twz7ZNHvMwbKJIwwjB3d9/mDBWCkMZEkGE3IPqMs+7Sy9OjOvH2CMfss
o625DfbpZsKYozHurBh7GgTdQoxBODevdp+Lpn1C4jD5kIclhZ0RSZH7HMVqb6rwy9hrbYf0Zd3a
BWHzRO3IvgcQozHBier5semiJ9L6cj6P39cY8H2jAXidQu47DtT3dQfptK8+aOY6W/Ioq+NjFFgk
EpI6ee3q2Z73Da/HWXZduQl5v7bmNo3Hi+ybW+WHVzJ5h8HYiyfScthgou1aQbsVCR+/orQ/8ok+
/y16+fs2luQ/xrD++QzxPw9K+7f9LB4BnKxducKIgjv3OzD8c1BCEgtqE1SrBNzpjzUtP4tHjOIB
e4NiXELuameJf+ldeOAy0K0fz6AKvn/pL+hdqE+/Awa/z1wIuiOZHiR7vfr9mOR8jy1ay/l2W7ti
1xYYxHhOxP8EJvp/qlEUD+NADB8SHTL1kGp+/4sCuPgqbePx1p8T+q5rFNofgW59O2EPVaKLaJJz
fDam3p7aEPAGNhjFH1qSsedxaBFwYiu9BgggosXXibtv1ugxWocFxNjK0AEuXWuil8WplNzbWkH5
b4MhLpcYHUnaef2dbXusfeHjOISgQfp5genF6r0Br+VHCGm0SggyAaWRX5I+tkh2j/1dPPtjXwRj
18NuqV1U9Ihgeb0ZLFaj2CG685cg6d4sfXunoSkDBJIOKBZsA/9bYsavUjEAfv7bbFEnYNzHxEuH
I8KWSMmOaOOxjYKKKnHiXCNDUUad4CWkn7Jf1SuCPI/YcHIbhOPrHC1PfcDg78e6fc465K4p6+Yb
Lxv1rQKgc+k5vRmp6BEHDk0uPS96jQE8nmCUIzg6qXFPDauc916C7oPcYA67NdLYcgvJAr9zC4+I
uL1bA+9jHzbIs7YNNPRpYnDg5ihscFkgZYXlf5hI4/1HTOEh6FL9TsdT5MqUyOYRkVevmrNAV9T5
7mPccyicCHZPuelmKHCeRq4s2R5VOmHpixcEt785uO9/ULr/6zdrhf4b4hs/Dgl5gtk/i7Ch7veX
mFq1YswRfWsq8ckigfe0PUGYzFUxneQJKY6mZJU4ZhWMhjy5xIeoCk910f0P1/of8Fby/cwH/k9T
bJtATIAgYPlb6SFxWJnADBjmOmQXjGSu6Bj80tHGIZgTmHZqqfdlMykSZzXxb1im60uAzyjtlCjW
bL2ltb/mJNxeJoASBxMCupmm8VCT7SXDIYBxCRNWvbkPqofhGmqFfI1po9LZGkHgphWIv7sKHfvR
BrJo661QManzLaHwj9G7h+ExRjw0VxOmeU4x7Qt5al2MAzTGkgV/rCyOv7BG59lJHpQLHDIhWlPi
Jr61Di6pYm2Xm4i9Y7D8gkjczI74uUdGgFW40DKqIEb77Q9z5d/yzb8vInhnsUw6xdPmUS/xgL2I
/qGI0C20iPLX+tZHsOqIQgAXSPsSYfemQtIeDYpi6PV+KV//3VW1w8j/QsL//Dv/8Gl6bsn00jFz
C2DvOUEI0s1sKDeTgR2asfmlhjic6jHPsAQn6c2UJwhLvNk0FkoQL3kzcPLR56CNFuO9QkE4jErd
hEP64Nfbl4SpF2G5KpVU4/XvM/n7mRxAavz1Cf5pWczNp6/f9J/6+b0q/OZIpnhKbohTF2vQ6A6G
/Ea73J+RnCD+jKDDrh/iSz+PZPhMyCZArABF8iPe8+tITv+R7ZAKwTfsC9H/GqyCTSm/u+TQdRDE
r3FcooaBDST7i/htAfEQnzfhFLC7mopDtgJgnkwi837Vt9HUfxg7Lx/dRMuNr5esXsVRCnbTD/MJ
HQh2fiyI7tKkaCIL+Sjrr6ghuPdpeyMbbDAKPO9Bco44y0BAiYn+PXyXDvuRKK1iPn4JZmjpE5lv
pxmgeLA8p714DRCES4Ch5VhZ9JLSvvSAkL/X4eyfZN1dmbA1cO0EycIpGA7zzG8HAMY5C8LnGSua
SsVjh3IRm9J6aQwUvH5drPkW9Umab0BMKjK0YwH87GnomgfH5KfNt++9VfXgwtkCFYxvVecllwS5
p3JG45yPGDJykw2fSdJ+aTJ9K5D0yrXFnzjDiqnMGNxjTUrZ9hBkx+3aYr3OsdUJjnge3idte+/v
oD/nPew0Mrmix/B3RB+N4cDYL7VpTdEH+zKzBgrk1iRYeOG3b5dlvefz1uSRP8EuiRD6s4I+GVGX
QgQPyMxq5HVjUXp0uzY9vTSTQwS88ZGAhL4cT8uZBWObswG2eUpAJQwz6G8PknFJG397Z0D4n+iQ
IOk+ZS2GrCm6wLZpD7RzX71lXS9saYLClz7wBdESqBHEA5YdvUlVcEadH+Ge1/XD6skBAuhEDyvz
/RxQJzaQeKDH5SybhyH1joMGF8QzGF/qZfXH7WgYVm/0Y4OsJcs48gbxIZNaIZ6wrKdU1oeJqa3K
Mpkhhy6+ILUhCmiHSKxjv1rVS+dKJ+oXhFvPKWSYG96Na4kfigmK8EPLpSt94J28DqZqkam5hKF6
7OqsKTPQTmXrElyQc5bc+gaZew0wv2Dz9mXWfpSPZoaD6sVg/TuJ7Vv1kJ14GyLnvJIbiDe0JC79
psdlqDQNEJqbJHpKXMpJ3LqSLbw/jGwlReClT5CkX5asa7EvyOAaIll/mozrC8Psk7fW5gxy+AuC
WNhzI2porkwCc5kXXMY0uwd077Abp49PnkieaRt+9rvhmHluqkJnbjwsGcD7jOR6bGFwNerzSuM9
/pqprJSGovCv2C5zCXAQY18ZLl5euT0mEtlvPRKujuGeDzsEnPo9/gp6+rDugdjMimc4fqasCQ+g
uiI2i1nxvWMI0qZ7pBYMeU72kO2wx2075G7JHsC1SOIi7gx8Zw/nBnBFr4gBq1zt0d01kW83ZHl1
Or6Z93DvPMhXjrRvGDUwEMl1If7DhjTwhlRwiHRw4zU3/h4XHmCBI6COll3o+NEf0gWCJOLFCjlj
sgeOM1D0w/cIcocXTtnJIJsM3fk1RegFdu1emuJqwFa8y+Ctn0J/ZbkKkNRVbsL2g3VJLxwrUKBt
uHqGizhNH5ByX4aDa8YY+wE8LGSLMH2/H5yzz64Oxw45arPoU8RJ8sK6IblMBizrfc96Rs6T8uKX
mqVhfdMmIP4E7aZypvUHQLQpevAQl0YNXbDG9XKKh26pbAuexeK6qxL48jmuwuc5nk9bJ9Bj1emp
SbcaIjE4E8uZzLFy64Fs252TM7bhiG3Dkh9x36esezcHqHBihNOvuz4EwtO+Mp096BQ8n2eTw8rN
eOrXri+yMXuM6PRVrMt7lQzbAXfxkdT6/UbRTyh/u6cxv87dmhRYCfMpcKjjg7R3rRWPgQ36Yppq
c1LY2IBrrb5DpDEs1qnrEGBuHXI4NujOcgixJy+Sn7B9DNZWOGMfTcrf8K79HBKLauAQ/w8PUq0j
mILkWMfIM7EebgGo5bcgGiSmLtGdCBgxuR35zI/eQu5YkPDDsrav2F952cR0riW20mQ9rwJwYnlA
JNJHiwLOJeyT2DA1NDWqnxaCYQfCiCVO6ySQsuHVNLgNnIA4gvkOCmExbcH3fuRtQsteZ2/qUd0P
xucF3BKkeADHqSa8jRvsJ0iYd0g0tvshcfq+S7G7TahbL61lMfgpxsnlS4utO0fr+qsd3ZAvbrrW
4/YhUWTfd3S3JgPyYFN6GWugE3M7HsBkn0dDXvyIYFuEP8D88wasAAT0KSMeFViglWPtZgmN/glb
G2DrhPE3mNvY8LWh2EZkurYCqVjQjdhQsbqDTvUlngg2avAGoJzOzhQbUrB/Elz1ssHg4U/gnz+p
OTuHMLi6aX2zDN77bt9V5mP5m56HCeVmOYiAfWspPSV2OA8evlqP5HVa2q+jCa4ibI5/95Pf+8md
APr3/SQySNO3Pys8+zf9VHiwVBkzyf7cg18940+FZ1/EmwUQefEfBpYQTeg/28n9YXd4eiUykP+C
nX4STRQPzoEwRBFLj7IA8PRfkYfBVf2xndzDuyli6VgIhD2If2wnl9Ghe2RNdGdc7BebW85wZ1UJ
yBF7vFJ1GFADgJWuH7IQ8qlh8RcdkTcTXbsy2fMerYMCOenmOmGHVC59eQOGUOdkG+cSWz9vnU5N
GVM9FMMw47iTzw1nFUJIj13cHuU6XdDpPqoRXU+rVqBJIzQKHYRvpECcinkZeh6K846KCUmM+h0w
qw8JYmZwaDdXpE7cJSy6C2xaUTVcMmxs65ItOm8LhrG5Q+FeGndEJB36xPgKifpxtiy5SFYfsWPz
MwFLSs2GXW9iyLsQxTtCpCtPY4G1IGNd+G6YUXeb9zaYXzq3xEXTNacQJyF6DixVFA2ygdOCdoKP
0W0n1KXvAItbrV8VGrHceQPqfU/udhSzsEzdtckyXpwA8T3zmgFtGcCsNpoV1Gf1rUkHv0Rcb4MB
Gm+vBDbs7RJnXzaON3eEQ/oQIpyRN0Z/ayAD37RDf04o9kvgiFuPjTTkznA4UdnuAWHKxAqQ3Rfq
docIS4SbfNldIxBWcJd2Jyl2GXvwGXawbbvPpAC3wxKH9xTtLhTf/Sh/7dtTtHtU3u5WtbtvFW2I
DO9OVrJ7WmJ3t7BhDD7X7njFu/cV7y6YFhOkI6xlrCQsMkjZV7QLd50MztPuoXFBXuvdVWt3f83b
nbZ199yC3X0D1gMfbnfksO91hXau6HHa/bp2d+7o7uGJ3c3zEUl7lDYj8Pjh9UFca0/+7v99t9FN
FHkP/e4Oig1/qdodQ5766YHsLmK7+4nr7ix6CLqBg4XbmOy+Iwubt2to7tFkyarxyJoP0/h56MHb
8SZFuHJ3MEdqIgwx+3KAbX+LeChfrEnadxKpvtw0VJ7WGZsQQpC+eV9L0CYA1/JmRGfA8b7nkfbm
E7GIrDQ2xrq9bOZfofJl0OOzulqY8E7+1B7mBI1HLSn6TUR6BZU6Rw5U5CRuoTe2lpR6FH2RLm36
sAXuoXXzY2oFhpz/Yu88tiO30i77Kr16jlowF27YASAcw9CTyQkWmcnEhff26Xsj1dKfMqVemqtG
qirRRQTu/cw5++iJFnuZnl3oGlDOp0BaiuWjQ5W87SronZmbNecYG5BnTBa3Z20dIG+HJ0uxBwqL
QtzrSv8cu2Wn+GoHSXcn9UnTNnFffYWdFdiLQm8ogUy2yAxoF+ZHTRk1qrDI8tTBPRa5bjEtmjUw
Wj0bGwrqCic5NtgoiItCOSpC3ceG8TS0SUeFLR/zOjnaSXE72q2nKPa5Nd9CW7/pqSFfqYE+R6s7
TUJRWHkDaHDGfjz1eED3rrv2nw29apSqJ52fJit5Mwzie41l0tOW7KyOqrYZXPt5cXC8x8nCrd7m
31obGzwu2UMJ0hhGyAmVIBbtVUFY5E65S2MNHcwgkRfO5bQZEOKtdcmhaIFa2a1BhTbzFmp1fu2V
6CGbwje17L8AY+QUVKvBt9PmJh619ym1rKBNDRrnFo6Y1sOliQ0wAWJdxreUQ4tGh9UOZ+TZLz0o
W99WxC1UT+QouV0c0Lnyb3ZqsunTDDZNV96gQ9njrsJUwLg4Ucv6GqPmxISSMG+bXL+bms82tFbK
ZOxjcLa+sCLKzaAspnOhd19LYR+K3nylqDAPcQ7GtVk+sIJjeC6nPX90tpVwzjDQLX5m2ReZcMq4
pcJkDRERspTNUGp7pbb284iISI+xzcfjHYPaU6a3Bgvu7KNz3L1dGBctqnaKqHcRRmfeU6i0Gv/d
fJdOHHtt3H9vY/sWcgLtXzkfulxIBsaZhxbpDnOqwl3Qe5kx38guu8uR02uxfMygbUir2Ns9GKU+
jx+zuPNwBqJDCFsbvuGyDzHfx5nnqDBdW1f3WNV+hn0xb7jHlHkHILt1buOc+jqyinsVT0Pwb230
ozZaCYD/vTZ6+BHH+ufiaP2q34qj1Rhm4wlji8N4HnX2/+zOjRWYYzgWVBH26yj+fi2OSIglO5R4
dtSFAmv2zyBCh4qKwRiVzLoXY6/+T4oj8YPo8dN4d53QU5wJVhe2w0Ze/wOLIi2qrErVRL0yL2zk
dl0CeRjV+69N0geDSKeNmofpni0xg3TNfQ47DB9hw44Env5Hl2cP9DPuBp25TyWpUoTHH72iHtqh
PqVKghkW0dImrgfAmUO3TQ3tbbTx2LT62N7kdX3AmcJlG1+hGxxy6Z7pjTdawxYayjiMBlBeG7t1
9kUM63XEYYKYrhstai1luU2tPvSyeLzXje6LG9sKmrvibk4VbVNWyqMi4wbYX9Ju6jjeRqF1kyWv
rGXeYBP0m8RMEBpzijR162m5eZNjxw6SpdjNZcnCuxJXGVMFqJq4WUguGIr+xmnDb5U73sToiPXZ
Su/EhHA8KsLzKNiNR7ryZWzMgCdOe2/ws29GWBxL2zzHuvotshPkXxW2dyvLniZb+dab2KHKzN2n
qXOes0gGGn9DqKbneKne26Rst0OYxsFIa+hJvTZ3hRniHkUx3jjI8Kvw2vbjW25hbEltPExOvetE
WmKKz1d8oLZ14AfXIbY/HbOOOS77ftSQvC/uc2K5W5Cl53GQO7VzBq91krsih0Q/FNPJaZfT2Dpq
MIbVaywB6g56DRMQxnDdztDa0u7VXMab0aqpDtv8e+k0ZzyGEUDW6OJixPaLjouxZRigdfq+DVno
t3X0qGfNQa0ksgsbDO1o9QieLfmtiOyHKJx3qBMnDCxw2FavCvkJnxPmlQUTi4WZhf8NDQebOTE4
TlCujheZdLfFDw8MZhjrVK7OGBdYiLV6ZRAjMlvDPgN6eY8Se2cNNYSK1WHDvwgkpg6qss836urC
GbDjcC3sEuw5YtZ27urXqTDutCtNrStZpxaYevrV3VNj8xGr32dByjmvDiCxeoFSTEHVD3fQ6hMC
fL3TMQ6lpthmFLybFEuRSMdjsnqMZDNfGkxHJArcdIvZsTyK7fkry5XmRRYd2BwmYc7GQlh3r6+i
w2jjNLlyp1ZufY9AK892jD+24CC3qSLRxerhd4B5nyFrbkSbGfyS2j7axfTcWs1Hl+LNq8ryzo7c
nSLTO63KDo6Tmx4oHb+abC8x7MGPMxVdv9ldNCMT/HFVUNs2NoYp2ZfdJAIJt41Rqr14ydDmmC9y
n2nF1rDm98nS/Xqa3oDlBqo7P/FGswFKlMMcKye0HTuZKocC350Frj1KMt+FEpnk8zZ10FxOTrWZ
xXI0qu5FqxufcXPk6/m0HXL8ZkacnOy4Tr0u1VcG+G4ktiKvct6Q565JdvPUb4mUYI3XH2LgHWzt
8HjnrS9j9zVP1lVdI09DhbljqWN3O+VWD9aSmqpWWSm4XxnO8RDM3jzBrUgZphrVfBZg2cfGoCDV
UVciWuO9NQn86Pd92zCVHa7J5PhtIh7VOMo37tycltTGnWbC/WUAybiCmRXCVFbF6oPZh5+11fLp
HPJD50aO19rDXovsCTcBbYqRM1pdBqjE8SaJTUgIMeJb0Z9Hu7iZlAKUMRe4iJwvmYFK2HL2PTVe
Q0vi2v1tbA0vql4dQjFtrUG1gzTJOP+mgkWBVd4bPWTPeGmuQo1QDyf71SJTxcMltJbHGsVnrXd3
oQ4opB42Vs1gdnJnn2X61rKawFA02BHt4LdoRTmFja1rdjdqsWwpMwfPhcJRV+pHFlLhdXr/xgSS
yaFuGgfNjm41CpEqiu60xTm5Drz1ZVHirbWMR9VKPcS10kurKAmYErkHIzJpfeR0a2QKzNL5Vned
76g3t0Ve+a3VBS220i307sIble46d9VtZztPU9xLLzdNqBK56QYTsJrXFPm7H1XD96Ttb+SkPmd9
cUggr0uXzqpv4vt+0X2dPA4zmoO+16qLnKYtQJOnVNMX6sn0mRM4aAvzrlFwKEWq+0Wxmpepnm7G
XFabFiwRHqKV8gEfCD+RnMxrRIYH9kiOcTEfwtqF46qF9Sz2yD3TZ6SrY+prSqFtlaUbPWdygkyN
D7qZ4pIac7wmpfwmBqP356GcVjnEu8tUVWtyA8EEls1Ip/tolmQTGsDqO9IU3C49d7HNcTlPpB2U
8UuZ6Ez+9HuiR0bKV8jqsv2KBsanoT5iyLy21nRYdM6vxqZJKsziaZqVZyaCVJd6igDW8KuMFs8h
pWhI4dGKxSHrpEJd1if9XdMxtTczm0lxoYaQV4d8AoNrDPKXJe5/XXjr66rvf8oTVoHgvEwAyXjb
GC/hk//9KrCtiXmaXcO9ag/55tXcDre1B7bEc98f79tzeYyDEnVDfDJ3oy/35VZiGt4n53+Hf//7
F4bBirL7mwKXnNpjyaw1Lv5c5a5f+luVq/7HRdwF3gCNk/bD1/LbCBC/I5FaNlWrawtLpQD+daPs
/IfobIZyZPEBnfsxuPt1BIhC1NH+3zf7URr/A40XgtQ/fooclQHIGo0CPZBMsD+YYRgN5tMEpOY6
K4MF8VoH70x6R+EkB6uXxTUW1jmWtrxYJpbbxTLv6jl1N0uk3huhuE+b/hNRCDiDSR4SwqGkrW15
RE+prnvKsByzAgRCweWiQ5MfBOa+yjipGSxko88vFPrbMLJPrUSXOCt3ViKf7Ll4MafOc8L6k204
40CH/XZxSCEbS0VZldF4Ix353MzQW4RKUZtd+hmxp6teJhsQt2tB+XKWnYkphAXMk1mDt+cvCrJm
/MBheQ7R/neN8WZE2W7oumMRWlQL7s0g6kso5cXl4nYX4UWyuvQQCoyyPoMoeqGZ2UvUSS4CWSUt
r4mWXEpFC4be9et28aU6UGu3t5Asz9E4e1gbd8x2AiOzLo3O9el+bxtXD/Jk7D3Z92BqnPcVZRZb
KNqS4aC0rj+YLRzZBXV34ufVsrGq5mFu53YTTvE1Mm1SWUYmtNYTwJn9Mrf3QDU/Cn264Hu7yLA+
DRbMuqU/5s28hxWDZr76bicVXGmA2+F6kYh7ey3MsAbtO5vrU2TjOe2pZrS5vqnD9N0oxb1bWZ5E
zboC7xhudKdIz/0lGg7NUnBBK/eJO0HDCp9FPj+BRwgs9ECbWoK6xmCEo0OtPTuvz9x449Ya6+ku
Y/vsl7H1jiK32VX1tHMq7qVoql50HTtIPk4fhflDnttEah20szuSedA6TbJP3EIeurJpkqtYlolC
QFiFsRsaMGOuNvLuT+3BVEp1V0KCXOVG9ylju2PBpNNra4I7tEwzzpO5DPgl8d1mU0wzAN/JD40l
udc1fZfqarsxO07JQmtXjpQT8CetjDSmVkA1oM9VMMc7R0283h7FHpoaBFBrfogFIj2W3hNXD6Ro
MGVkKVQ1nqKofXKaTg3ox9bJjH4XOzOo+eT7aLJGYnj7qOjh19IxfGcW10U3t6JJUe6lo59iMRJZ
+EmndcYh8KKgyUvOTd8NAf8u7qEKAy5IuCDOyzu9BATed6zmB4RGoWlp3iJFittAfERwdzYqFDHG
1nXvt8IltGqIsCknZIP1jLUEwQ7DQOfKzPwzqty3YtafTNP65PdH11xCBJpnI1trP2aYuVH5UE3k
pkrJPBkqbV9ljc8W7Aou8ejk47OY5u+9rUIKcI7gqkFxK32AQOQZOWGAGLG+zOFYb/MBV5LeK9a5
zMIHKBARbtq0DfR1/tYLA3AKpl62rbzKdf5NKdckmdX5a68e4AQzcKhku2R1B7vLgFGO7i/DOByr
9gc2iY9JMMtqVm8xHNe9sbqNbZnto9V/rNf61qkYZ9eGvguxKHerV5ljinQepmFRD4MOO/McGXxz
RXyNV6ezhUsP8N+HgmqxXb3QU6ii0ApfjNUlPbskzCB88cRqoF6d1KJDN7tgrpYjUTZqMs+wunnf
pzB8NdZCM6xCm8+Xsa1Xn7brjjyiq3e7LHksYTS0/HrG91zVp92wer17Orw4BX0+5tjA48XidxuO
FQbxKWeJPy89uh3jMKLtlN0ARk09dqu3PFNclzgawDQ9a9pUqg8jRnSzkI9Q2CBsY1EvmgTRAaN7
gLjKKe6hORVz+gQNBtlvXtl+9kPEL2VabNHDI+1XSlT+BAaowOFR/gugHlicBHsgsDLq6g+YC0r2
YvUMTL1+ZH5xV+UtkI3VVwA3N/b+Hbb9GLapXMv/vRb5P1kVF3+1ieSrfi1DVkG50Ak6o1L8Yb39
adiGXxd7Lf/5BVz9uzIEHy+BwKZhorW2bFabv5YhVCirh9Y2KTFdbCz/DGn9B2XsKmwD3wA/2AIg
wyyQ2d3vhG2IHsYkMZzsqmj1lyhG6LFg+dNm85BpDGwSCu226QPbZCQxYI1nnOLOKE4dKPXh+jDk
cf0jeIO6nSyJyFS3KuES45oy4cCb94ZoPqld6LOjx76rdc+xwwg/I6BCrkkVg9Lss7R9zy22Y70m
voWMULxKyUnxMqebicCLdE2+cFJcHyrRYtY8mNyXdH1EYmV+k5uTDwSt8+w1R0PMqsVghGyNoqRT
m03T14nd6CfyN8CgvRogbRGUz98QHxxBThCkADRmEw3kd+SAbUzJk1zY7u3iai/DmvWRrKkfUhJ2
mK1JIMmaCbJEEGJQSSA2CbnWu+285ofUuBI3OpEii4zO3O83FVEjkr8JaQ5nRK7r92Oc+kOEbDwl
oCTU9MeQJENML32+AZWFAHDNM0FMiJ0RuVVuzLFHxOeLs6afWOhx0P+ZQx1HD52eVG9qPT7Pixhv
uhVUYYDJz7QRNVbdvBHYcogLNDXVSPffm5B2RgxAvYEaWYbOWUb6s1GzSuvj8Yr+zwrStF983Vyi
YHGBHkaNuyKq+ntDkd9MaBg7AJCeBtbxprTeu+kd9uVWVNZ7OxvlDiXOjkVTFDQ0jOWzq8niAbtn
lX7G0fJtnBDOI84L7L4qGdQ10nHe2SRdQj7fB7Ur1P3U6eVVb0L3KvKwPc5u6AkXG8/I/dE1HJ+q
RF0ihTtfjGRh8xOX+bgDnfuCQc+341yejan8BKen71GEuEwjCc9aNv+ec7+ccwgU/uacy9+/lc2f
2y2Vr/r1nNN/HGaI/R2h6w45Rj+dc4gxkDlYHDWQB3724xFuRN45vdYvmJifyf0OlhpM3eqv5Bn7
n+wU2Cb9sd1aATIqqotV+oEb4Q/63bIyiYxBR3hVM+MRt8aD3jJdF+1dOqGBIAlSHiOVy10Te4oF
GoA0DbfhYJH0N/UhVlBaLXtmXUy3dK9SCYPxYrzBiN0iVkS761SKTuHyvQq7lNjmK+3gRpjbK5k9
NDb24aUonY1WTmelVkvW/YhrYY8onjKZoW+jK0WKpSuIPsb6ohb5o41X72wPS3FKdB2TtKXXGNp4
xPTM3okWL50zlKNnSYq3pSkeZUEtS4AqEURNe6grE29CF7H6hBpri/wTtvgzXGYyM3RzXxrKg7Kk
qBbr9rysCNbFjD7IXWCebvagZkpM780h0U5aZHwb5HtjeAwIiRVGPTEOPeCGpYcgRwvoF9mU+vrS
VkE1J+/jwjE/dc23vhuPWlcxm1X5g5ohPDAnu50xyFCdBMpy6jvtOAnnzUysQ6kmgmkly1c8S6cm
atgNIvBjpo6ucdKu+Foyhl19oDkqb4lht5suitqDvSIF8MHcE5Ur7lxFfp30AsWvA2w1MzIv1qS2
1esS87w9aAyFucqqsOyCLF3jE9NR2zSqcwITcJh7zArsm4AyFPdT2nLkLL0W1AYDNael8bRcuN1Y
IeogqrvhIepUNq2a+xIpZbKBO7Or1YRSy34U7vKuKVGxI15403HsUaS5fqmjLavgNW8qUe1HddA9
q6uPhsbfsjT1zjVyApBCrVBvK9EVD7Th/OCm5Toor4tovsYlqjJ9UG75gL+7JV1Ug7jkKFPtlRHp
uUHA4ivIE/x4ND6nsf8cyI3ctt0Eia91wj0I6A9IeioaHp35JvbNbTz2D6YesfVy1OOQJF+qxb1Z
alovs5Q7DOGnekZy2KrQFbsIu06ZhiDf2vbSJQuPz/Aoo/CjljbLMAPodqLkDyQ+UWfr/Utt2Ie0
pqtzTIZic5lxDVo5658CKbJJfavKIxoexLzJ8sD3HE81jCf8+WUZdPg3vB+8ZRrNdKu565s3GbOn
WqEF/k28tGXSQMQAndS2RXFs9X7yJgWVgJxjmpEWCfkyteVrpIJ6KKRsbhPLRM2BbX4qZrZQff6M
nQfVdydB3CZoR/QSlIJRFUGYsWhsKfd52juCAzHek65kSTJL+4O6kCWDVPdga2G2s/hdNrVlzBuO
xY4eoL1FVLFsyhqnV8eGRwGiUC4dOHQWLBUcBJ400XngmCe2C9L23QgPj9AozvkHNvO3Ce0Gk+0n
bUpuzKY/lgbuI9E8DPZAT9PmO6mEKY7/cCHsVbsMU/8Ulz+8CPI2F/1dGo3PTkq4ar68tiF4pZQ4
kE1eJs8WRCMxqfu5bR8BX5DQ2hfqBjGRwQKF7qStA1ttym0+Oy1ag+kcNsZdipQymEYtsPXqqPd9
QYh6/12Y4VscaVdyCS7EKNyCoaJGG9qPMDQR5qbLayapLkTNUgxm9Fub28ilZlqwTq8eSynYH1Ql
2Yl8asjNmNNno0/MPVMvhgsum+hAlhDfzbj0/73Cf1zhJnPo/36Ffymzv4gnXL/mtwucoSj4Fmal
rsaW32Rg+du8FAgcBlFGlTbnG//487wUSSTWmHUWruHNZQD7U6MCwNVihe+S+ILa4J/c4PoPi97v
x+6OamH0oQ62IYi4f2hUumYEyKon07XqkKVUTufbYfNIFoT0En3u/AUwyGM8aNlVJ1/goe1DwjNV
jc3YEmoUrhMjjhLaSC2Mi0HVEYCWB9VsJ5/GYg1eh+XlRtbDB9R+PqDzGnZcZ9OtG0W4YPLC9lwM
DsSzcdKqTKSgn/tDLMtrHhGhOwIsv2dxVux6PERBRB6s32raE4z9bJ+xHYO7AqLF7A/G7DxGkEC2
Ewh4kFsonDO0g56w3DdFtca9OzrPxaLHT7UYy7PU52LbITWHl42RVeMluMaaE4Iw79w9a7J1u6Nb
mw5g/36sbOTYkeHuq4IjJ4rs17LlBhYVYrFVHdTXSPxcBAEEYzNd6j1MLaS6y+qo9iJI7UgN9Gg4
wn++YYT6zKt55sanouiwjJYWXUqRyjdzEKxWeXC5kF7Arr40ZpEFDJGI9Ijih06wUWRXBkSv0GzP
iqJ9uuC2Vaz804hgkk6FdbQasqWBziI9xfez7RQTWFM4omU1FxLhsoSUguqhVMKLyOYPZ4n3xop/
EpXxLZzbW6Ul5w9C2spehUVTj87FAJJOQuVyMUve0q6a/Hoeb9Pc+NCN5gWk21fg3jgpJRCVbLpa
pDdt7EojvThi+qiM+sFk14PFY8IRFbnIBp3O0/N1ScYOf8pZ7tsGJCpNfqmi5Q5V701Sw/BRJgIE
SHdgRhSWaGMBWjlXY1YT42PdIc0Hu8P6xODsRvmBF260BhSOycUubfNTYWvPyEdsNGVmARnWm3Al
FatDxn1M02gz79voKNshIDE7HUAOhKqGa9ZE+z6bKTGGjOlbZdHvG5Pbc3Cago1s+rXWKwFzNZ6Z
UkKTKxN3q6os9Ejh4EXGYn1QZrj3kcnqe+QB91Q+qUZU3WcFnqAhhtvvMFar0lx9LGTIFFyIvYaC
DeIr2S2YQnNfD0fwfCqc/Tn8nGcINYpjogQ2H5sufNOLgqY8NTwsfBeAstlhFHjL8rEHGw9xnCgW
cbU7ulIMwp1XAZdjiygeBmDvXtiZJ5IGK88tZteDd3pssj4+anN5g9EHU1UZ8y51Ltq015ZAD2WM
UPfjzBFjvOtqJImemze7dk5p7mfpO3X2ITMTQGDFo85jUlX2xAubv1WyPZLuWR1ShTxHNozaFTrf
CjJU5D1xidGxEA65n054GWqkd4lrIaOAlZ4VA59zbLoME6e7WSNCbq6rlKwHNI69rod7te7ILGxL
sZuj0PVVpW4PVV3cRJJtOM28cWytaDnWCTAPUdZqUNYVKWIYFZZ0Pipq9MocBEB7Ek8ep196UGLh
ooWujgp5y9FE9IOVVF9qQM7f2yJfzWq9uLOT5HNJlg6qn2t0zb8t8C9rx3UD99/vz4f3onv/X5v3
5uP9r6ys6xf/epEy8VvbXdsQyNjWIImfLlL1P8zycBeseVY/Zne/LR7N/4BexfoK4pRUL27a/7lI
DVA3uoWcZr2WdL7tP7lI/5zBZiJ8YyWKrg54jrHuJX+C8BkSrXA35+Ii87elvUzTl59elr8wZwvt
T602zECBHBDbLZ4J0169Dz/9hD5sRUcR2F/I0AnYL32fYSZkYXJvNt130iHADzexnwsqcUQHBx7G
fVMnqE4r3JcrjaEEy1DY3N5gGpJebgXYBiUjgklfZcLN5LUr2GGR2VUbVtaDMXS1cY3ylQGxuq8i
XkQutRohj0FYLLRW1TwgNwjZ/agQkolO8GfUCb4Qcfat1lf2J/d0IADb0Q5GymtCH+27qfjaywmf
P5IRVgtEyQFnR3OhOVdMYUqQOc2r20RGoOna2tWJ8TahUMbMUHZbrWGLQgbJzdDEbyxlT6au+66b
z6cx4jLMinLP+bj4DYFWoZnt0BueEaqD0VoKCoGRGaeYvuepciXiE0Y07rVtLxzUI92DDU1AUauD
Ubtvqarsi6o/dpUKTb2f76bUOSYLcPBoASPXcR7Z9nuoDcSmI46IkPD2afze0TTTE2PPN519FiVX
haQxk1GaDPUvxPAc3d7e57V5EkVt0vcM58xYfAvFR1MB6J9rrCACxR6GQOx32W0T4qhoFwwpsfqF
BdwKC0uOQhGPXaalG30BEo5/4SEmV9OT7YTK2IkPc8aG2ExMJEyJtVNrxHOllb71Ari+2ni8F5Ds
i27YsnY6TshAXTG8iNLwRmleuJe/tN1yTWNxL3PCcclX29liOMuxOZSwDaMpeZEDi7PcHffZMJ6k
nj1YWol3O8leAMc+43l4scJ+WzbWkVimrTI1b5boKqoKJGlG+6Xkj8fzOu0UWJFpxqltw3MMTcAg
06kaEw76OqIsmQu+qYPWSNgh7AH7jacAd23yJQoBmkwthgKl7/nY1N/nMtk7XRIIo3pbDYyKoj60
eBY3KcDHYeKyM7OPJQ3vUuTfdLPRKSW3kQBU3JRCsR8lkUpsIKUXxREzihyMm0Y2h1JJ1pMLMyNn
aotjTGKzr1Ta4JvWQ+KK156wwK2iQ0VgKsvTk4wPqpbcKD02P71GRm7WQMkB1N9PUFi8noDnmyFS
AeJbRhu4GR5sXcDQHVsCwsERB7FpPVP9R75bh84HUVFDINHNoE2vrJ7nm4lP6+WzwiI7iYcYS1Js
nerKYsTDS7ExEFh5jQIvKclK6dMJNyy8FcryRYBL6cL0vkSm3IG/V28q3B+OnJFy1c1Nx6KREUqL
hH6ibjIokDS9bvcUbEkQxf3J0iLclGlV7LQFryQZVMEyrdJNkVVB2a3ToDzOrjYD6tTLlPaOMVzk
hWH11Vzm5yY03u0U/pOhnRMMjJ6LPZ+cZ+UUsqdet9nmJrXMCTtFmT9gCod3r9lh9tKnxf04oNAH
SXAVjNA5WbwmESQkaMwNq+IGvzEHIvsAzV7V+ngSKqZhnFFHYCR7eH9MihgSLN0J7OZOmhh7M/Ul
ZZFu9OpxBIC6K6b0TSTwRlok96ODfljrVLbfIrY/qpHN57KsWwhByNxjquXjdoiNnWGXZKaTPeFJ
Z0lZdMbNeXHSi6FX+9Rt7zREgN5qs5ly2vtlNH2OvIOuhT1Ru1ZzyObhySJbONdzjx6gz9CA9TKY
Ifm7nDn9cVSt8q0QncL5q3yvW6niKWJix4+DNl9Z4loaWYOWMUVfOCRy2BWIF3Yc/fIlrPkJep89
Fjm53xq357GfG7CMSXQpSJ8miMdwIDFCvBGl/Ui0AAtwkQgkV3oLA1GE4RaTzaMVzo8O3cMrAYL4
b3qEymYfaRt7nLbdzGK0UodiV841tja+cIMRq39t4szZrpTiZdVsS24l2e0F6oJNOlZbw8mJt8nL
L7Rph2Jkm26jymvLqzrbx7Sen1SZBEMMGqms5FOf6Y9OX7s3BOwM2D+Txi/DDBx4T71cqeqXtbX1
jUnUr71VaT4h9OhvJR90ssrBD4XGqz653UOomxPjKcUlN0Kdg7+/nmnwfxKvgU4Bk2GtlHfmqPhX
LXaOP1/OFLwWtPKkIFMPH/60HExrvBubdvv3P2Yd6v/Fz8FjYNoGrvk/FQGdveRpJItLnmXn1tKf
OJVuHcptjsuG/MV1QTNn+2GqtpmT7ltdniSMVUcvbjipTiYNR+KmdzLEVUVhbEiCulwCFqLws+wt
Ftw8AggAL5b6/6PL/OVvTpPOooAhCGvb379CZt6X0NhSkinZcEbzo5qgcy9Pf//6uLhMf//6rA4H
cltXIRlYEfsP70Pbw2HI0364EN5H92mJg1FyMKjM47fIucwgVIZXQiTKu8LlM4jjeXTGdZFYcVAZ
EACSfCsVcKeEv7gPBbdSXw4X5h0ZTwlB5qZOuhfU5EtMiMoUol4YdZ4bK2c/OLsgn0wte087SFpZ
FO+Wkb6z1axAZnEapJ3xVWn0LdSk1ftTWwwqXc0ra+ixsklpmFlzzNI61Iv+CWj2fbLh5JpqvJns
7DwvNnxCYnH3qjYmZ1VWpFlMWOUjDZWMdBMbD1H0HPZa/liPJveHFp3MnH1Fa1Xd3gLwN5RccRru
gJls5aBS9StQlsKfFlbEqMBPofrewzIy7QPn4hdHySDDjtp+TgRCZAIRC8YfaIxx7EEhXASlB4DD
1LcjlGyTku+bLjcxV03HXh3eUyIFvs5kcagWQhM7k6CAFhq7tt7GRktXr0/3uWVlFxezomYt001t
t+e//zigYPqLzwMPpMPHYRUGrq7kn5/L0CAZkf+vu9ia/m64LcqZasguFi0j03v5BgOOmW8rPc2a
fCfOGGQYmOvsFZQrU3vPEP/ckVsIefpsls6rIQq5bXOzhvyiikNu4ieO4jTHgTEghi8FIQBc6v5I
tKCPLId6hINIzUs8tWb9EOW0nJpsS24DBDkd26+iqrfki35tWP8y7jMB0ZRw/XP9ydJnamfE8Uan
+bBlaww2WBSb0XoFcH0AgPXNsieWHyPHgJuBLZkemXKcbMJ+arQCDEn4hEC8nfUHcxjOaSIf6ti8
z213Z83dq5OmGF+LUg2suqcWrIcAiwm0uJWHbCS4JNEM+OCc3xU+E17lGl80Q3nV5ADFqSNZVtrq
dlgUwJJTGWii2alqciBRItDZRnMb+SJFS+M4443NVmjUhpZrvvL6rHs0xuriOtOhLed3QLNfa6N5
L2zoFDO/Z1/46ZBeSzmd7MLajtgxpA1bM2ZaqLvxXVop6YGo2YDExMDKwNFUPzZ5EX0JD+OguHdQ
O79jElqpFciXeiZhXZ96VkvQH5kSmmaRS0rGiwFW2VlxcyJaGNdQoaa9PClaGKTa+AJeZOXI3JpS
bCJZwipR/i97Z7bcuJVt2185PwAH+ubxggBbiaL65gWhVCrR9z2+/owtO22lnFaG4zxeP1REVWRR
JEFg77XXmnPMQ84uHo0MX5TscajadU2yJkl/uqco7JpZMK47tveiQcPeS3XiZam0wdV6WHAmWA4x
eqMSjqtWZtFdkHcndJmM0T7h69uGRQd8uj4rbIOqt8uIDq3Gajtn1l4Px0OlYpIyBN5aq2KaS1iD
IwJApZZTQkYEFMbksrcKEilOpuFbgEno3mGrMAH6Ie2zhvtKhpuSy+dIX4GoBPpZEo1EdAUBYRLq
YK1a2pcrC0D1ZhwWr6Ju2DKoaUmis7bNQBVi4QxBmjH4+NGVX2xtv3hSNXH8fXe8VSNnhqGdkv7J
vj+05zlt2WkART5epM25wonl87WBg//fdop3K4P24TitRlHB6YKVoSxfFeKfp6vBOSvCB2SQn78R
SKy/v5MJaQvuJPoiXQwH3n+zsQUll8jDdFyUOSQucGpXcaDeGG1IhmYJQwcr/qGqYiaIiqyc2yIu
zEywpdJtwpXF3121ivQNJP7lVGi2ixz5jvCNi1K2rkEYElycrLpWvZ7CdsKKFa7zLn4qEv1eirLq
KuwBvBhR1G1yoz8YiUx+meLPCvNeSrwN9iPrnmD562qB7EEcU691O4JWDks47wzCkpGnHBq2bYgo
h1SlCdpLoN8JQ6qU+7xq/DgLdmOF1zabsCAbOTgrkC2EVT/Wk9Pcq6GwR4HP+8VV/bHf8ger7t1F
/SA8SE29iJvAno729BQtX2b7V9Hdv/jRPmwcspRRI4fpfIzt6ypx3Fq7/cVt8fkbvJHR3t3vuZmn
cqqG89FQTzHUGC6THM2/Cwj/0VQhrsJfw53vVwmlGyUp5FPzw603WS0kLp1vgVUYg3Q35tQkt/j1
f/FrqD/e48jdHPgdTKvYauF5UJn+eI/PEK/GcKnUI2XMC5uad5OtA0/yYZOv7t3Cvd+Zq+HsyxVa
o7vJf878+QtPdLvVdp9f1TcT68dv/O6xfvug7y6rM8ROJYihR+RfnryCp3/db8jnWjs+Te1mrWy4
zmtl1biAJ3z61YOvH4uXzz+FGOr95Lr/9ciLxefdp8Aeldlqw3V/mHaqz1Rr7Zws96JFRu5t7o3V
menlG+fIhHxbXBvbm8ALN9OWdc9dNgSpgb5yU8/xpLN+Sxz8ReSixA69O4RmRyydG2Pn7MoDGOfb
fH39+UfXfvVgfaigJbWNswr4wdFwS7dat6/VurpRvHqFrsMjJdCHfr0vN6eXM7/fGSsO7MkeEfE+
OUJsX9E5T92vweru80/1QWf0/Ub+84KaH3aHGHFtA7ppPkY7x41WyzbfBDcM2VOUxS7cfJd8Q5f8
oWO9VZ9opPmfv7+4fT/eVab+13P0YbVhqWGqU83TUV5K3xrHA6yI49AjOPr8fcSq8tn7fFh17NjW
hmHJoMmGZBONL/K0Hc0vs+bXMq7Rav35u/38p/7zW308TEo5i79RJ/0xIhRjDq6q8PL/9gYfznza
ZGemmXOASo2DmtAHdCzv83f4xQ9jiQfx3YOGLMsuUEvNx7I6tnm6rtSHpbd/8av86jp9WNxaJWuT
wUq64yR+Fax0zpSs/m/f48MN1pNq0aMrn4/jMK1i85inE2S10+dv8ou7y/qwKplBKM0059gNJhMZ
aOGnWXehkc9twahLRvU4hPEvLt1Pfx/jzTCGqQ/X4o+/D3RRDUxA1x/1/FuTwAQAs2tuPv9aP/15
3r3Hh4eGKNNWqiN9OhqI3ST5Ms9/0VX41Rt8WBLB4E1aUtbDUWbRphmdatkvLtPb/vjZg//hPoax
Y6tBxn3M2QCKc7gftjg93WW1b1aRH14ALfmF3/JDTvD3JfXPp98U3/rdo6PQ/1M6NWKPeqAxXLCq
noe8tzs+K2fLbnBPCxGXbN2GD/rStS8l9wp9H7v66bE+aXtO7YR1+HPnbotVtPnVx/vpRv5+yf14
58QNhJuAh065EBu55KLC1neFsnLTje7dF+4eZOThm/yFw1lzOx+wkPxi9RL6m09X4w+/O5QAM6qd
mVrCA77pERCKIsQ5ZN6VczTPtE3vParrwC3o2K7xf23slfSLFfpXH8H6sO9JExzQYqy6o3Rgnu/R
2Uy+klHqWYf+ddrCOj+zNujJv4WP2mrapBehl7x+/nS9Hbw+uTWtD/dJOmjoeQtuTbQ169oFmCSq
ul26uhl2026HYcpdjvAM70m18/J1tbFO0Lq83ic7w42esl+slG8Hs799nr8ed+PDJbElh9lQwZJS
+/rG3JiZN62X9XJGhp/7Eu5IqlnZu2pLU+9sWlm3vk11UPjdJl1fx54oEv4oDv5/z5NBtcYq9M+j
+9Vz9jwAoG5/ImDnhd/H9kLArhBNYyIywzSsc87+U/+GlZhJNk1zxUSrLjwyf/mFDZkXyaajKtqP
Rh3rN/w+TOyx/SCc1mXz34ztYfD88JALow557KDWTSIhVKjrH/oARWjDVhtshg9yFm4rUHoRTFu3
0cZDbw0zsSdqe4bbqwSJuaChnPoTZ2uocUX+pYH577VSC9E0MnxHYxQTjqaGlzOqV/DqeFoRQHlR
Z9M7qcXkcJzyU00CX2QwdSWPk6dWXg52oJ01hr61SwcKnRRtAJLeBxCTVwyXzpdmxuJRpsOWztk+
zImtSnVjv9gx2GndOjdV/TY0KkgRsX3pjFaK9S1GOd88IzEsaOeFd0Nu0HmKI0p0HMUr6JvnZmHd
T0EKD0fTHpysvDfpQjipcjZa4CSM/LyzkQk1Y3RbNAH8LSWHf00nb9GviiIhJll6VGlmhuQ+INKn
RdFUZ5VVPqBAPGpRnriRgcdvQkDLTfHcZUhfiwl7pGR1PkPUyMUzhwGzmWiDA03wbbuAQjQMRGgn
+UUzTuhsQm1bRgjaUF0fRxFIES6jsiFBdZ2YNWJypnrorIDiq8tJC8wXtatu0n5ejzbsMS0sTpNu
ruco38VqjonUak9mb91GdUAbRp8fzJiRXjwalcfQgpFlEZdrLZ5br1AtKJDLZTMV1lqJsv2kZK/R
ktf0WujLRg3nx0wNVmbpXFAZqsgwrO1kh9c1bFZ85syPafmZMxm60JjWsTXgE6pjP+6WxO+0btg0
vf0QmQAA+5qs7KyMN7jCCjfNyxe4IqWXdHhz1FphigPeRIYx2c1bUMGJSzjBl6bRXpl+vAKpDLdh
rR9DM9xNA73ImbgAP5kz/U4zUplseRuXQiAy2+p9bpi7zFDODbQfjR0i/85iElynid5AaM4b+81F
VBh954+DdBlX41dnScdmxQgiWclo6ZeaGbKFul6XapWghWrrmELDrTKMp81uo/ywt6qQ6JfN9Jw6
+g2psN7Q5r5MIxh/FkA1lP2lNmgreN3Dda0rtR874YRIEj8xOmYLuh32gC5jFqIZ2ZUzhB4kY+LH
8RIUjnkWDK0CH4WGMvIKnguLdFcbW8haEwNoYo7lNSz0bCXHS3+YcS0QIPGiCRtDh58BbZwsRu8N
pFu+S9SNeO4XVOk6OvpQXi5QflYig2widrc6BbgmolyWvUoYKUwcFVlhPnU4LNryMtZ1FA2YL4Dr
BLvJLI9TQI7xgEHDUcuvyDVxCGDdyPW8oh/bpp40SalXCYfHaAhfS82YJlqkDQL8ZHlShSWkOUsS
uuKjH5dEXdQBt8GQB8/zgpdEnevzQLhLCmwmU6VvCwU6/IwBRQrT17TnkVGLkntbDH0cLITCteJo
5DYPWXaDrfebI6wt4cR9B80dbVwR+jqBmRwtl84dwro4k9TJOFfwyUgxPOFpAPhiCxON5SwBkyKM
NRDXy1XYcPaNxuF8aFJ0ksKIkznxddRwNxt6qOyaLImYffCLTwEg0nReLlG8msRsQf9t84HiEseP
Vjc90EserGghNwRkw7gi6ylYD8TReSU6vy2JxJBKEZfO/K1eqy9ROB0ynEZyIKPwQciuqMM+ENJ2
7c1I376Z6qtJaR5Sx2hH3yRNMlm1fXLo+yGB10hFo+LRCKCcJ3FLMHIY6b8fGf6rCZRPa4LDa/MT
fIh4zfdyQLF+M+lF0jy17N+Bv+/LAdAdii6EdCbx5u/KAeM34igUpqHym21XoPW+y+H13wigwZ5k
GTAAmC//KxXfW7/gr+JS9DFNgG2OQ8yATEzUx3rbUqoQGfDCvBCSJg6PuMEPhr7Js2rd2ViD/Uzi
6rjGBgbAjeAzXdrnrd2L/NtYTR5jVemDiygoe6IEQJ3naA2SUfYryegt/EdNM54o54+VlsY3UjOq
NLO0xVon7dJe2lmUPJETsVzOxRyiqwhUxQ+RxiH1Kcos9lR9gXVat23o1WKITFqBlCfo5Dorax+R
3yVM+6ZsUYGKa71JhORaLaZY2ec59rHrkOAr0u3qIFH9rgwJOdVC2Yutgt7j0Jke5rRkI6Wk044i
oREYkOKPU72Qc2OCZR+w3CJrmc3F19qeseSsOqSIZr1m1ueVFUiLX+iV1MJ8W8zzfiYWyKvU0ryO
AUsJ/16VgNSY241SRWl3zSG6cXxTZE9NYOHUTW3xv+cQb9EyivTgqg5RaDFiLq1dDetC9t+q1f8e
UZkT2idlO7nh7fNPanZe9f0hBfNNWJusaMyW0NuKmvnPml3leTNkMU8nO0bkOf5Zszu/iYeXJ5Sn
25apz/96SO3fhBWeZg9RbzzZPL//AvKjipXg3cGcp9QiYe6NPsRHsPG//ti6IPspTEHd6xfpUlnz
bjFL7AhDpHXBhQqIPs/Bdkvq1g4EcbWPrmc91Ok76RWVXY/WLDBjd8zq1Ef7onutkctbeUS4Y08a
nO2hfObRRqtnxM+ovjh1a1HrNS1MSUwp7MkJQbnOHUeFzgf/ADLCbgkLmxfovw58cHz1AcyedHBH
KUe913SZF5ndoS8qB4lafD8o5iWCTY6uebOC/FUMZAvUIAIGOaelnZSXC14zwph31CjAKrLSZHqD
ls6pSfGOm+XZSZpLEwHPtodJjMlMPalyl533+lKu7dQosBBkpUcW0zctCJ/heHWrXLL8bn6lrja8
2SCYWSKBO8uL80nV76sixI5Iwb/lqJ+vOPxUkNpQ32olZ6HFdpqVMkwHxLSJrzbLK6r9NcIYIdzd
KLgD2qrctOgZm6b04DRj+0ENuWoG7bVj8pSOeOocWahVzwogtosBIqgPA3IfBUQJ0K0tiLdZVm0R
N/lTmdxk6Gm7rrisGvkQgcoN8ljwRfPLgZ+0FzRdeYqbYtNJir22zWqvkLuLjgNrqhWcyWKUO8QM
KyFVI0HV1OZSmSB5PyVNFqp+q5VhcQmVba42uYDWIciUH1jOUQSbQ/qCCBvsc0M4h9q/OG20tlRC
lUebf4778ZWqlX5pOzluPkzbbo6OegEKkcMduMgu+kbwTwPfYH4EkXXTLdMleuonrcENVC6P8ZA4
K9NoNd8K9a+xOqHyC+enLKqJSOgqa0UYC46/ZnANGZ+j0VwGaDssWHhnvVXfzDFfi/BRTMuhfRFM
LXjNaME3SFZQ1IFGTk3H78xZ3i4WWUal7gs2xNBliPAqUs2ZSx1T6EYE9MX7Jlg2zHERIudoRqQy
egnTGsleP8P7G3FSJ+xDqtQ+kgC4LXlsVoWNU8WekWVb7YKdFMaDYqa7adQDTLXSaQ6kh6aT92al
KRCUk1uoQKFvK4TrtWxjPM1AJSBTWCkOpq7cFxRobpQjChFT78hMv7VRd1Hl+vPQgu7OMJKmc3LE
XnuoNMJMOXEdijEjCU7ThlWCC7OJyCJPumHc1CTyuF1EfYkE57lI7cfFKv08M3ZyS38s1arrRTI5
gUb2JNzat5YUXU94w2VnfKCBHO+qyNktU30IQrs6BGX7YEIJZ6h/LZnmLtLsCwlVZ0SEeaUvxzxv
tmnJvbmYM2oJeEreoIZXwwBlm7STkLCQJokcP50cuIDDZD61Q7uL1KS/CmzIunGRrSHZH0zhY/pv
a3szY4ou8T9vbefl1/Ll7zubeNH3nQ0TiSjuHBtBBm0pMbj9c2cj+tjAvSFcFuZbIfl9Z9MVXmTh
OjHY9FB6MuT4o/rkXzBoEnrBbEPmJqRZ+S82NtEL+3Ffw7xCVLKjKNhCNfXjvlaXtd4RVhSdaky7
9rZOR+JUDOtCwUiPwjyURJGVVuXI+tJXi+wQ8GXpAa4LyABr0HdKdz0i03a+QVraknKvBc84zRJU
JGORSQeq55b8RbjnFJYL7LkT2MiYpPpaj6oBM6c64edcjIWU96x1Ap4sErAE4302CV/qYcqRHtDM
vUVnq4nraGshY8MWnhiCHEtK4bYGcJKsCkFFMusxay5CopNqDm7zaPmhTXySm9om4VhdL70a8N1/
Hwb9V9XR5/zk1vdes/85ls1P81t44ffbX4VDDrNRNpU/Er7f3f46USyo5Cn3/uAf/Xn7q7/JskzR
RxCv7gin1Pv7X+PoZSG4NTXjzcL8L+5/nqMfbn84kHSDoTfaJHvrusCgvJ9IIZxL2mwp1FMBrl9O
4zMrTFfa8Cut9u/P0V+nPL4JRzw6yA6dZ7TCf1NRS2z3ABfT8cSZMt11oWzrviEIgzGOj1INCZEa
LZj8XXnB+OesTqtbS0W0W0F9WI05bae0UVIsSMQ0ka4trzR8T65kVILd1DyMbYW32Y6ob0TsStRm
1xVvuFKr7FTKMbuBVRD/VquIDyXBRCcxhEgP+1DjnHYInFnB61s8ztBbTYNOBk59reoGIV7Qk7wW
UHtloe6yrXNHJyqOr/kQ6Vm5ott6TbfnSsqBJ0rGEc8QQUpjjDvVdnaNMxzHICcX1lFu2eEyVw4H
YgzF/tkP3aUhLetR7+8du3lVQ+spzOfHRvQ8ISlSnM3oIJvgYFp5vEYJtDWdAB8ouuWV1jS3pRlu
Y1sPV1kUHZgDfynGKF0PuVzhxYa2lJVT5UkQr92MrtNa6ZYnJc8BBOvwD23WLpTCdKE0rxY+JUu5
bVqyDPFNoImbr6y63xiOuqXNKRFQ0+Z8UC0GMVEQYaMaJNmRXZx3GDEs58npaDeSudXX0PPaXk9J
npM9JFJIWNtkQ6Pxmz3T+JVN41waeqqDgnycmhpbIY9WhWQ5zRT1Y6TE61TJTjXH8rWmjZsl18/D
EOR0p+gbZ+DaRiOxsZJJGGSFZawgggbiwhXk5NnTlvYuNiF+hK2DYLrLrtux32GrG7xGk1+YwqOC
H+e7LI6NzaQtFyr2bXJWYNY1S/NVydSv6phRO0/KFmz8DqaPQiE9bggSusxBzU9WaZ5ZGuxKMyte
lqR6iCx0zLlZ3lDCJp5eW+l27LWNZWGd0QIBcHYan1sMjIg+0r6ALf9cJDQC1ostQcQ2TJxKijyl
eP1mtQnbrT7WhSdb41qxRxEK0kz7LDNgWMykMgY0+XTt6yg7u9gAkrrQ83XxBQ93qaGJ6BLw82jl
Y1GZTkrspYm602haKqQAdaKjbdfPHMSulFR6BZyQujXFFWxFEVYz3CBm7GCWjF45psqO/EFid8bh
zG4410hYagi2IyekHWKCWMLx0Uys1p/C6jyM5WDVVhOHP5qKentWJaDBunY7jp2wsNCPZH8aEvmU
NOV5avLIakV6ohw8ZJK0WzLGyVEYRVibZvKghvirORJZmIyJ5k69chV15mYqu9eUIxr5uES3mNUD
mYSAhXaR3hzSTtqil32eEvlpMUgaJ/i7defsKcOBPbaE6PT7qhQ5khwRimalYh9Hva93dEA1f9T0
7QA9sVEijhpI1fEYJd1aVohxCgcdLxB8gakcvUBqQOOP1aZXiou5HB+bkuyDeNbvSGawzysp0eub
MiGwwNabYFtidc9+LzL/UVv4UZPFKipMVZxhmNxRTImm3Pvlum1JOQ1mcz5BhrVcfRPsp+vyHO62
Kz0X99Bhd4B83ODAMaL3ks2vpH5CEvPjIs7bk2mrUaupBsDfH9++CYhUkMx+OQ3WcxXsHBRSzvQk
YUN8t5Gefv+L78O2f/Y+KthiHAKAMuhr/Pg+TseeFU/DclLis2hq3Sx7dcKdkO9//j4/7n5iU3q7
nuyBqHzxOX+QsdSMU4xeiWTU24fGvKg0Guz6/efv8YY//njR3n+ZD2/SR7LcqhDpTsO6vYNW5A9b
+avt2eCgznPuMfeq8UHqrdXt7RHXvnsczuP1XesH/mWyH91t4zVnncf/0SvX/Me/+/zzqeJifvx8
Ol40S8MHyGz4w+fL+gXeyCwrJ9LSjsGl7Mvnyn24V5nSrOCku/tHZTOtjvV63GKVyA90KC6h9q+h
CK7ePsp/haTBDf7PZ6jH/stPmoPiNX/WkGDn2MEp0oTljVPKuxpS+Y3GvYwJjjn771P77wN9h3+B
fkPj7q23/76DT3NQUG4w9bOc2KLb+C9qSLDiP9xCb81BTGamrlOWMhIQxLz3y1LW0X+Yykm+6JLy
IXAKY2OmGmcfLLkkaCrVpYGRSyQqOMcpxU5clrgpulbfN4L2NBYTOfG6Ay2tAVkJogLP62huBpBe
mT1V580irapB1vElv7CVyURXjKB4IUEv5rhzAptxb8XAMA43fRvAh3HI9rVG/XYsmq0eR8VNHYZA
oqvqxWRIXPbVbaPo1UrHbuGaYf2SzSLZttULtx7H7UQg6yqEBFxcypq9URJdP0maeQjMkT7PyGaX
jxJKa0V4yrKaBkz3bPXhS5ATcArkRvbDuap3duHkbl1KVwzis5MDLsDNzchx8XVhEp8tywtgdq9C
4HWETc2naCLHq3G0r21sXgIUPdodZSKN+4dY1W660qGaS9RXytrJh+Z52wyFH4Ph6E0J7vWibIlD
+AoYBdJpFDE1mC4LORGGxce8CA/J4twoSWW5xgJCq1Hlm8pKVCBc+r6Lqm6VkRBHx9N4nvsWLIHV
PtgjbOgW34tbG6Y36vLJznQFV318GTuD4ko5Pr79PFM7w+j9Jotmm1kcAdwcBjLxdlrSXvUmldhk
ULctTd6uLBOkpwm4DwywZy1U1bUkcVQtHBXPtNNlLcGvZZOT7UYQoSMiCbOCcfpgJjulqB3UchTK
9UCg6UIan9SnsrvExosjYg7rWf2WlcZMDu5bCGKiOsdMBCMWBU6/IGXwi1ciXRdZUe1J8L2IRKSi
TLbiKEIWieCUMUmWgAp0zW2Vct836rHC7LzqtYUYnlinVBPBjYqBv0hEOQ5K/2SS7UjuX79qepx+
akQqs6DjtSEXN6PUc8n6ubNiUpeC8guYVaoHTd/rhXSpiDzJCBcu+ZJ9PdlMYSHFyV2j7UxSKCsz
30+dgU1Ku5iV9ELXwMI5mWO6MgmWMkmWRo4MphPhlpFk3TZdiJWa3MugUrFh2hjT61rMb2X5Kicl
k0PJpk6Tq5j0TLPPHqESfDFErKaSQiqfSdq0m7T3GnPEkEcKpwGmlrmytB8yDdGXiOrsRWgnWUJn
cq28QJwjzpNcz0pTkegqaNbbRSPncMHJjGs4DRaZsCMZFcn4JeJa+6Y4mRVmXHPeqx60ojp3QFOZ
drlOIq3FMBu8dPK4thoovFI21ivq7XKVJj025LQGjY3HvZiNr91IrlINdC63k7M6aFSyM/N0BZkC
U2f7ZCf1AcrVrZIudwqWeD4fNCUI1M7ogOAvUMCovRcuw4hfM8X7g/CgX+Sr1tGe5s6paJ+InvYk
TXsmc9IOOmvDvCA+G9L6GivOa1SlV7ZZEJKMzAC8rSYyvS3+ytJExjYneBoSBuWXJmW7PFcvE1kt
XFpaJk7QdnGl0kpXKLTRUtqk8HHuuyAIheSascyI2MuweIaEMKoycV+G/GIvyh/K5//2WVEo/vM+
62f/45UN/Ne/9yvFC79vtvQrRUOQRA2dE6pq0xJ5169UKJVoSKom+FUBef1rs6VXQ6Ycyi/RrhHz
u+/jchsanUqXEbCcUOP9O/UcGNqPm63N3+EEQNoGNSt/98fNtg6DyZCUAf6rXt6NAgA5wJ+RaDG5
VtI2J2kRmEgOpQ+GzsLuGFkNL0Wy8CESeNtKQ7HHaNYDiuEsJMOfRCZjQbKx8feDf1kvOtmyebzQ
Bm3IwO30vvTrwBlWTMFHpDLLdS9QlzgNImYO1q0DBZPTGxliC5wEC0ImhXe4bWBmdvF0HxCJDRy+
um7KCPIoMURbRQ5fiDa6mTT5QHDqsZQjHkEB5ZSbRFnPBiEiECDOMpasWSA8S1ieKKweg07dd2bV
HiJKA3kIs3VYm/jFR1N2zcn4YjaptAWqgUZoMuY1GRyvZmm+omZIPPJUyS2ALupM2kOhlsW+6rPS
BTLwrA7RZSSQpHzMF6fIL1JM5thCrJUUmWV5NzGT8SnxNymL+MaAFE085josiZEMUAMtRv5qZoo/
Cap0mVUbHc601YxXI77KLckCNkMrI/TTcVm8JJZMv5emCwuevxvDro5hWA8CZq2ryhuSp8SgDOoa
StYG1MtOM7unXMCwaw0sdg8fexGgbFue7+wMn+tpasfwrOqmhfBPjp7OWSRV35Y+ElXGkPht0uuM
PAFN60s2bfIYDWMdJw78rjm61FL1liBMcKEzs02VTK0lTLXHRbZc3O6O09/0ZhYeGQxW+0XO0QtE
UrqtjJIEe/lKQbvFYd5Ga4CIz03l+E6I+zBy4wjRJARFWoh7tjJh2BllxzFVKk9hEpBqRHQegpAb
SwLUOyZAdnsakJm51/uCSzznXpBM95URf7W0/CyQ8PIWSo1UHse7a0n9s563SLh07VFSsyfaWKBL
QmszOzoWqijZqjLSQKtsvalfgMVolHaLvZ6L1Juw7RdZemYGFhl1dPvteb7Ol+KbnJU2OSy26WLj
Jh41ZUMdpOQFO/aDQarGHE1XWdSdzYN0g2L0qeNYSjMOo2IvHUDOHGUtuJ2K5DCPOb9WoN6FOYPF
qAlugsk6dAlXqFJDfa1V9IdS2zkWqv4YWOMtUl0gbCGowAlkmmvF8hcSNq7GBodX1azVQCCSreFi
VPQrbea75BRhTavsTBtXiW3vQ9CIvYlhWTK+hHN3J9qCYWEQ/WyImMWt1uRwO9h503Z+MHrb3iSh
lLtpzKiYZY45Ry3BL5xL+CsTmQqIcB6aNt9rDt5wTd1F8nLXF2QpD7A9VrU27qrGiFfcsKRKS9kV
0ctfKi0npzXFz7+Y9kbtUMkQpmr7Qccur0bUD6XDIFpHXJpUebJDnbKaWvC1KtnSYsVllVJK8uGG
UwnNwFXrTl73w3wZyoB7FSazMpeANelSm83zpHdeOIqIqah5q5r6uabXyUrrZyJ65yrySrHENdEC
o16+Vp1inVkR8s6qhRVFzrejGNk2RxOpZB0a17wzV0h57vslvFZk/YuVMxwPVfs8HaJgE4aShF4o
u1IsrSHjGs7grFpf1BikAxhLSgCz8mcNZkEeq7oYQ69T4mjhOQbXSb3gom+UmyIe4DqhRXipIulo
lsOAl541Io7vx2i4IKxwmxv2t4VWk98h+yXnWSZ3u66UVdwaEjKGdsnvcwLNw/MFEyshdUPp64px
MOzmxhE82kaQaZelfCqX2EFuO2huB742GABcWkP7xewk8r365gQs7BiBvNVA304gcBXBwtWKZo+Q
yU8ZH/l9Z1yCvj3vHal1TUHSTUDq2qB1Zakh2F3Qdo0RkTKSzxsNEG8cyPsMMG8iCL0prBA+zfLg
CHhvPd/lxngJY+rE/cBFAPObg/tdDISGnUgMH2Roo4IJLKAxBZBgxWz3MtBgXZ5uCxRbATBhE6hw
5XBGs/kvk+ANg16k/SkYxI4ZqyQy48ouZLUjpYQDS1xtC9DFjWAYW8CMw8QkkEDwjQ1BOgZ3jC+h
SnaLoCBL6bgr3rjIgpBMqry6A7wYe47gJ5eCpJzKDQoWQVcOCYYkzD75vRn1X1WmfFqVnZXt//y/
InzNXtu/12XipX/WZcgY6WaQFsHAWJOFr+17XabQz0DnDLMXxRMVG+Kk73WZ/ptNr9Jk9sZZnYna
OxkjsiqaD6ZsGCqwQsH5/xdNkI9VGdWgjEhKxpIN8sSSxb+/s3YltoWWp3CSY5/7i2GxA270+v5d
ufqTtujHKRpoGN6F5iuNOny5NuO/H9+lJg4bsaKRHLsyiTOvtOWCBKhmtleBpqZ+orWom2ZVYYxn
c25lI1xlS3AYoA1fyVV0mcWszEYUn42yjApYkQyWf7KuQBJi3A6xD6n5rh+i83iAvNsrZ/IyXraz
el4v5WFqtAvEmXs5IUQ4J/vDTeTaWVszFgM6wzPSHecrI44RMivAoaTjfJ9l/bcY4aSLIBibMh1k
ytSA1xPQ67jzhMBlP0oL1uJxsrxOIuA9cQAssGuX7FZdIa8aVb8L6H9trMzQnlQOva6kyZBE5DQC
89PXVebDwkphhyizN4t0FdiAVUDLQCs6C3YDbKW5naeN1UONnQjTAN2tVZp9t6g1sfXAzTaNtJjG
RilHpNmUwcAwcZMYeTcTmEC5fcHkUDrn7xOTGbO+YRI7lFKxsUs99mhE0bwQitXGsqH7Znq676fa
tE+8X6s9GXNotQd1LofSC2ftqmRoP50iujHsJbNzcBrT2g8EojwyRNbvB4sYBDubl2u9K3p9Z5eU
o5DYRL6wHQ0oguSxdW5LAr9cE/mnL4HF8dRqilARgSCh1zXvBtUYwPz0CNC45mdFsLTPLeDeaSa0
a57oqTh1vJOYUfhIhpnrUWleLUO/T2QY6U6pOFchdTh4wSgmVsyJ1mWVy6sp1b2hxAtXx/fE2w5n
/HSDZ9bx4jddoXotJR1y2CnemxSgPkjcZQNWRVkVTqAfW7hYzLnqdmNqw3bUiZGNJrW9BMKk+LaU
n6PPQd3eYnfHTaOXxs6OejzwZrYtSYDxQk0+tc54DdJtuA2Hyf5WAoxrmTaZ42R+K+PeM4ilTYNa
uZGlfh2aHaVfmfqOlBOEC4cLw4gLm+lr23avOMxf52S+q8HuNNqwd+BjsoCQMLFs9Ek+n+3B05xu
iwL6jJO9FzbDF9noz+tcWmdA5LUG8Fc/vxRkD4fl/7J3Hs2RI2e3/i93DwW8WdxNFcqy6D03CFog
4X0i8evvg56vNd2tUSt0v+1EKEZScMgiy2S+5pznvEf6YITSza3dtODvM2d8dlzxls+ujRw+647o
pWKW3PPJLNjKxea5Ww8hM7bnmpev64lGw8+xIahjS+GxH/T5eYq6TVzQGTR6s0JVSBXUlfohdYw0
NCABM/q94m+8gVsHUkrMcQifo1vboy7OE5v4VwiY131edoxL4NyYE2/m3tjlzYTkMfJ4lxXqLOBD
pAMPMoFzTb5/8glXtKfqEaneOnO828GMr8umPnn8/xFsaTGM10kgjjlhhJhQxCaOoQ8rLBKgbRCV
tcxssCpcZFr2UmXGC2KYo+iI2smBeQ7GNXaiMDfLsIKm5tjpuskbdTZ73h4CAmCVRL03QKAGXFlB
S/IXobFEksmjX80KShf5CL1ffRQq8hCVMctRMZWaM1nZrgnqHeQv7WZWWrP9/ckLdYWT9c8tybeT
F408YiQCIviq/8v5niiDfsPNxUXVZOYG2L/aYFXLQjbq+akvLJJ7xoieEOcTiYufRt10102T6Xf+
zNq/mqaboU1P+hSFWeA96lO/axL3q8zSGH4zbCCaInpYhaFz5j2dL/6hyOlgJZO8ZjejGXp+vx+r
6q315mEt0u7B9BIkpUZPDasTh5yT2dusu+lg1Bn0C4hCRtruTKrpHCMdoQUfKi9uBy89DlF2Nnf5
sRnMk1dXpJGbwa4nUynslNibU+KsWfKu3Ugj8dVOdzHPTtjp3Y2tBmNdJ+5RTwI+10jZT1EPdjxt
p3vAmMSeuAxzTWVe2oIleeO6pNuJ7Hys54ukSw+ZdHaOBJ0mmG9G3zjjPkUVGdRbWsWNE9enPC5A
rpWQ4XN5RpbUnnuNhqiuGAIoFgdpe0n28g3yMMgdUKtDt9QAQtbMytr2SljEKBcz4r+2Te9tZSPZ
nMQrs54zAZ4eU1uNZHLeZlnzkTU6snjoabbxTFB2WFi0AIG9R0B8bnXI3oJlzkkfAmf2I4KWRu/W
rFym46ssL9iP18tZ1p+E5z6Zes5OmbA6X8ueVWEaSFVVtrGT+NKaHSMsF0cd6Hp/bxbp8FAhbTgT
omnP80oWh9+/VRdv8C9vVJdNpk+yAGQYFHQ/lwjpjI+vReB7EYEutdJjy3T294+wLJn/fAR+JHI8
g20Tqx56S3+xmvxY6ljuXDoYeOKL3MVc5l6KQexFfUOqAe8EJqdusw3Sze8fk8Xvf3jU5e/+ocAa
6qyvbUvTznUFv8U0QerxP7gVn2Kb2iMJSpBMvgME1zqMQ5khzelxSJUQBHVTVOuynZ8qzTuJ3tbX
XZFs80Aab35ie2Ghp/cumZMh8KEzL7efXeJHj0bOiol3U1lthtkrN36tgXmuRxQvpVKHYfKst6pE
KmDPsISFEO8579VNo5Ouwgmswp5ckjW5rrfQWucd5+H9EI/mgWy2q0T1Hym0aC6lu65tt24nkXg4
6d7SE22T6lQouSzLHWGM+ropXNCj0kEZKKabZcVQCtLLGyt2V06gznjTAyqVBAPVAn0IYghp301z
+mjr2dHpK5IFMoo1EWHRS3u0UC4KnGxOCV1vwlJFZkiOJIyqKOOU1R9HwtnopQoYztOubGEYRjPv
YPJH+xh+JMGdVcrYu55TP2zz6LxGAxSTKWtUBOz58XSLKYYCrtbuhh5kvWXhQ5y9fqfVDJ5YoLyy
cSN4orhu8Oq0yCjZWhyJyyF6wLH2XgmHtzaM+1Il+ymaAPi3w0XtckemtXNoW/vTb3TU6UzVGsfe
xbV98uR/crx/E1L87j1OR/Hju03alBgmcs3z9FRexRfallDbB/RIB1RYJ5+rZ/1uypVzNM7LF/kf
MBHfCIn/+uAsdA2XREOsUT8/OGYdHym1rZ2TkboqT+a63qIRNc60R2/Lev7+UlufHscN6pPxlX/k
F8QSro5iG11YLOb/w2/z88X3x6fdQiiBaduljfpV86F0WdiGkSYXyCRqKBxCf2zH/e8/3T+fWf/6
GL+oENkNklCQ5AmX62fcoui6/v3P/8u/gXw2z2PXvSzQf35Ci8mdNaZfXN7aVcOArXWoOf84of5u
33UWDP9+qbJtP7vyrzYqfNc/O3eCPmmzfeQLv3buoApQIqD/1l3a52/t+ffO3SPZHK4ZUspF5fpt
2fJ9o+L8Az0thBu0438IGP6bzt3zlpf/z8/b4kAkvSQg1A/7IQIY65fPW1bkRjD1kXeBt+MY981Y
nvfSVAAei7GuK47bYd75sgMCnhTx9FCRTqHCKiBtmKlu8jxZ3W2RNCpMOu4d2Q+7RsYhcjUEfDpd
UWXk7qoK0jdrIctapSM2SgNdWc7OhRGg8mYl/kwlcFMW2aMcKiO77r06uc0yQYbOhI8vQmlA3xvr
QrvIotKXq2ZsNm2hxc+q7pOrKEqEe5XkyrtySh9Noo3/h/YQekEVOlGhl3eup1nbiDGj3HS03f1l
o3WJeBiYo49kyMnHzAwSNrpZtRdJmiom6O25TO2jHJwbJ7ZVGHnlgz7nd4Mt2PMm9bu54BDcZHgr
+llwlENeNay3pITX22r2hTuYEA6mhyERztpin6ONWqgVTPDihQJg15CjfSXxJpfsTA07ecR07iOn
zPBlO7eZLy9TzvxQaeKDCc5dMdifuk3H0RU8KY7fX3ug16nwCCGQ/PyVCVj+RZGjDPJa7PUZKWOz
KFKL3L/DzmhuqxJ1RGktcO/U3CdkoJbj2IaFFAcrIeTAKRJvVVJhkxOXlRvonzlzP3W0avM6Mgm4
nq0ERoJt7qsMPabp024HajIPagSlTh/+oVdB6A9dsdYiB6Kp1+2KMniFZHrmBt5ZZ+HqEr6Gcn8O
biGtj+sg6bZTpH04wbzN9elA0OpF3Lo1jNA2rNvZ3YMMA9sX1V99hYDRFZIEF614l0nA3ajKJ97S
Pd3b6O3dZXPH2+sai3+PWKa66J1UY+0TXeUBauOYVLg4MW6iWkPaxUCc2UbrrFNnRJrBzDxxqqch
pd6u4v7Y8wr23bB1iGPfTQ5gDVdvqs1cguAd1eXUOI9G118EvbhL+ypbC717KOLkJrGZGNT6AObf
1Q7MXK3VmLQ3yovudAntuQEKC6q3DpVBPxwICiWjja6GaAa7GmkHa9Le20ZLQt2us51yaItmI8jX
ciCDO3a6HcM30K+2mo9VzepcVcBWfUeu66G01nRjSy6WPAGp+MhzcRSDz1ymE+fEy5B7TSegqsHY
6UEOPTpuMGDYRWgb6Wur13Krgv4yaO2nUUv0NR/1cZWqggz7gQBtRZ+PEeRmmMndIVJi5plZed5E
f1bSnvTZeG/KudxrNu9OmnW56nLxmStzZrbtPTnSuTWR+h7GKkOc3ZoHBopA1Gm5k1EDo0DA3Fov
bHsrm/RSxC4xw9lNkY8XccJ7WyYeGZ1pRgZScGXGJQTjnHWgrAnbRiSsVk3p3kmDCHG91b8i037R
rfydYeKhkRZj+rhnHaiZn3anPXSUnuuiKB4K2ZsbMxhulWIuINziuVL2maNVyqGXUXAsj549uddW
6hPeLTod7n3SvFmS9t10GH8sEZiD05y72tRv5ozl6Di/tZb53NCc7AMd51odeFfzMJah3yfQKlqX
9Rp+OwZm6p0UPbzLXn+blPC7/VrP90qv1GrwspSz1nqBt3/bF71PSoYPPGOIZNgyVKMURJZTCh0g
INF7iJ8/xxlDeOmwGErNMRyjyttnWRmsR81GWgHLflXoLFylLd9RoIPX6kgl1iPpXIjJAajUNcCo
NTNBHNLcyJL9g/LBphjzuMkEMVJE05MbaalQOClTxjSpzwtPHlQRvYDNxbCq2cXG9BiqTBbv1rpN
312MPCvmkPPGKRkN2JaCF902h6q2txkdIYRlN9/6PntbzsN5V6bNS+s727LVdrGMdhUbt+tEEy4I
YsGwtJPonsgp2E5aiWmSDNhrtzTrrdcYhya2TqknAMMUqb9jzU22qefr62hU6pgMw9LupluEXtbR
rC0YLjUEjmyKy31SlvP9LAteG6m0rQMCZ6Wxm1vF9Korpx8PVsF80zB8XIrOeBbnwTEK5jNNzAUg
Z9aTUQa2pYCnmXi3vua5p7ljUZsMAGdY310R8HFXmujzl2SaLbGhYjUkWgs9uX+HUz6iirP93eTj
81AGpGiERRS7eXLVC2wpqIjCrBLjrq7nM9zGJ8JQQxyTV8wJs42VNqgBkRishNdekL/27sMIyrsI
PYEXsGV2NYckWYfkSV9tIjdGnT032DB0+WAM2WuVaVd5K24zkk9pE3V3k7YGAjK7/swxc8aFbm97
HFxhK2x+pGBuJXNSYQTL03Ggxw4G+DWGPoayaSNGNtlZCe55n05p/NAkOQGm0bPLLnRl8tH1coh8
Rf/sWNrKSfqL+ptpoC/eIzYUGyNAwR8U+cNQ+VhiaPFWpqZdzzrSRi0X50btRASeZmd5SyVic6c6
2sgBZhifE9Yzb4hOfqSKHa3nEQ9uEDaZtkqd8rFQ7cVUokFyVVGs2tRe84Iem844c/LiQ6v9Lzmx
/XURQJSNto+69BOPzLYbqn7XefWmq/mqrLQHPdVPc3xW0N61gwfOJXsNhvQt6Th8R02n+/cOgwBM
4/R+vO7c9jh3ksVrxstTsGhPUW5MM+9nWMxstU370yJgnb7XuxVpzL/MAT4SECfa3FjZZF8DSiIb
jsrthQrsIKZq21DpYO1wj7NTkeBB5KDbQBsL5KNh8cPrqVrJKD3LEJ3srKJ/twE/xR7Sxhq0iu4V
4GXKB8PiwgtgMDiEorAxsFClivtWSrbJHdncWt1c1SI4KRbvIaiFmwFuBOIax8A8U+yGCtjDaIJW
MGQBvJ7YmY4E9a2I+OiUMz4YqFS3xdjwp/mg2RPqTgb6YoM5cKke2oNnJUep0q/EcMQ2lj4Cv3RX
zbsOGarp71pVhsZ0Yph0l+QjzijbLtaMpndpOhI57FHIWPObhdrUlfGb74qTbQ6YiSM94cVqXknF
HVeTKVOHi3hsz/j43MUKVQzr1wej9tiBLLrEduMTk5fvzSo/jH0WRr5VX5duW5BNWwoXHo7tGBq5
Q1XF5J+QofaINUYWyFYk7P1tlY+aula8OqXuCC20I0wW8exJNgZBdqwIBl5NmcanTWt3cwDIs620
realMAEyTW6FXYU2yRFhNKIa9g1gFv7YsL6PjQ0Lq3urLW+l7WJ1t+yvJm0fSYYh7IDCS4sEeF8n
OCSe/VqX09UkAqzMHgb4RPTFmrqrW4Pab1aOXJSq6Bq4ThR1oc7F1nGl8fotrx21OaJGRnzJqUES
TKCQHU69dzH24pLYqJNBxhlZBemrEaiwC+yTMSuqm6p+425RUADydVb6950QyGgH/XOOCGaZUx3A
1ujv7XG4AkGWUORh+qaVWFHXyNCNyo9WFiiYEw3QUzVvG3IZ7Sa/MeGGs7Ia105RoXAuolNAgJin
HC47p+v2A0MS7jcekHTndWbnHbMT3E3d7K7mOt3VJtUuosaXrBFrO7nMCFpKGY7JyToQ00g2rk+y
RlcuEQj9ZeGkH7VCGxsbMNcU3XGsXzBQ2hIHeGGbly5KGw01Z9tq8XHUq8dMxoc+Ec+919/XAXOl
BZbut7vJ9RYS+pq690I15ouojT2AUE7GIj7MypsP6ZC/8AveJ8tm3qMW3CR9Lc44FV5spJCPxcxa
qmrSsynJGEOPabVWxXwuRwXzyjWe6lHH3pNd46l9zWofjltHnJIKnnOnOgkreSwkEqZvfezfDb1O
f/vvG/pd/ln+BVBo+abv/bxp/MNn9kv8fACO5Ftn/n0Tb5r/WKbO/MdgrY6E8s9NPLJKXYc28F0i
yZe+9/PBPywM4nzNDAzdwNv03/Tz+A5+7eeRCSC15Gf6Psk3/LifhncAbzxzGvzg0ixa9smOMde7
9ht/wtIYxYPmL7roBclRe219o1UUC7hihmDhpsGpLYOM6yJ7y9AJKYqF0QTwr2wbYQgDMAJuW2s+
lBMZV8MYXNOmfuWwMtbwIrgOzZ3mmTgQBb1Ks9NjEKUl90ut7TWRvzntRIhoWp3iVF5n5mIT7Vs2
i+4ep8Zep91dWcRuiYAoApFCHTeCC5MKSJg6V3Di5NuB7bYyxnZVasZbWhirqRkZi/reU217B4b/
75yH59BDcoJ3IHE8B2Db+ojdO5q9T5QCYYZ4kSV7rzgNq+aSIecW5xzi/9HYN311Nma0pbLXwUBY
WgtuxSsPaCv4a0syaLpqfmRicI4suaAfAc3bZvgWTEYCiY0A2xribZvhXzfa2Nuk0nj1Myx6HSbM
xkbkb1TDczFFL0OaUvVXl5NCmKgVkbMtOrNGvlMepCD7PBAsWgxMiKEu7XFVFX61IxfOCul9CxY1
AS5DdV042aGDh7iC8fChitFf6XguuWcitJEY96xYvcKfIejdML56Uzsa43AgNPKElR5PQEBhNkJS
Y8oyyFPVsldVNt355PYnogA/C62UT7yeZ73zMhfuOXypNVy3q7xJ8TpEt5KAdHiNbPlDvHoNMSYm
2+BNSY5WvKpz0uCgr6HQb8BYE/GTdwx1186Y7AR5v+jXYywNJkiMo5dV4w7fQHXgean1ja2LepdE
fnAbZUgm1rkyiEFsKsYBo6PsXd06dh4S8BvvyJEliNgrW5Z5qC0e/cr193hK9Ke/j0MabAfow++O
w9vX9/a1+Cz7v5hxLt/5w5mIzYrZg2d6TBARef9TnbQcl8jCGVb+8RW+6/uM0/8HiiVSREyL/6LO
ZWj6/Uz0YbguvCV2zSAeOFH/mzORSNZfz0Rm397y2zm6bZtM838+E610LLu5muTllNMW2oMgE24k
863GsFp4U7/ttIwCgUHP+CzT4qyGtYPrAx0fFE2xjqCEhQwejZs4djdkIxdcv2QDuUwkz/R+fnUi
c0Zw0n9Kt+k2XkqiTJ1Ht9aguefsaRMKIqvZ1szqLhjQb9I4eegZRUoqza0I/GOBtNtuja9sUg8y
KZg7ZJdN3oZYRPcBA8lVkALNEAXrpzQ34tWsEExMut2t44BELm6Bz9TD8eVqL9mofcoxaUhVxwc2
ScUEtSo+CFGNOfI0nNDjwMwJBpHMZLkaA3D/iU34A3pSIvpGsIwDS+pBVQ9JUV2bLoaZijLJU/aw
bgbSIQG5DTG+5wPMnRuKt3Oukc+Z7C5VXrlGLWkAMhL/3O08pY8FfUCEtyUpnbsRNs9KT79UDBhL
5Oa13yq18rGfbMa4u6+03lypoV8Cm5J8O/U5DqkAdX/r0lAwwgl7bG37zteRuuJt2ugl+e1zBRu3
EOjkuygNNloPEMvuiSrHi70qNKDZg5bekJJmhpOJ5D1VNjmTAgu9U2nWedtkgpghUqgy2vnjrLU3
VTcRvqZV+o4I8QNGZIFCphdbUp2c/RBhA3oovwlRzUWTmnaLPDX/JlXNoUxOlgtXaxJyw574q0PY
OiFwTfqFW1B0vXfeR30XvLTOLD6KvIL6EBh5sCeRhfjDzjUuPR3KbbckxcdLZny9pMcXsynufQLl
W0wFlM7ExS5Z886SOi+X/HmtJoneJJI+KNHMFw5nZDTscmYOew7/e20gx35gBEQK01ziLSTlHvtO
s/I6s7zslnZZ57lkl3o+JapidymAF9hetWYIPF2VChGzP8iaxPvxrWNScOZl5ohoOPkE2kVygK10
sKrGheZXUb/SWdgVGg2jF/TDvkUhtjdbN79t3Ca/HCuvvMtM1bPoFMl6tOu7yu+Bb7mYCQawoLFw
9pNbMuhF+M6gZKiIuFeXsg+itWYRG1xkVbBxhCnPergjWyWQ0fWKGjmq100iH3yFvdEqdcUot07D
2KZZMSdbO2haIF+yVEoa1SYKhd+X4Kiq7D2zHJjKg2xW8I+PmUym/Tij3iY+dgm+nGuGKdjFrqVl
RCfCff1zf1QXnesBw8g13OgVI132JRDLdX8Ke9rFc82fifs18JHhWZz/3rf9kd5toHz49+U5eLm3
Kv/ouXnKXvTq8PF//8+f3/fP24igbTZqqGFxMqEW5cr5Z4Vuwwx0DGe5+bheFn3I/9xGkJVslmAo
nHD4eqhoWaP+z21kQxTXDdP2/tzT/S+0sjb3nQ8TyrAD8DewC3++i/pBSawZjrwiCjbm/a04cHY/
PClXfyzvfiQI/EGu+XOpx1+BT4tNQOBCZXZx+P+iUjGQqadp1tVXloTv0nFDdBAdEssskV/obUM9
WrlTdj1XwvUvkiTxnqhYzeza1x21TvRiMo+mW6Ooqg5NMp1ElONgFETOGgyoZ2utVH4VOVqYV9pB
dcFea6rbXgduoRJjMzfezSS6faQwMyZEwpWiN0LHbo5aLS81P3vLVfaqRVE41PUhzdMnrDqMl0Ry
GfecNGZ+8BIwT8bUfjFr29VkuqJUtb2daLiFNNgSq96R+2Zk5oGo696DXWV1a/68p9jVDzpymJXF
cd5M5SdcKRS6k43Hp/iMSNdG+Ff3uDyJD2u6dgvbDiGXJ0O/XLT90qRZ8PS3JXzZsokPN+zybjTi
Y2Sa9+1EtWmK/jErSDBJlHzvXPuo7LbcNml9XiYTtsrGs0JHRM46qtrbVpQouOyqxxZtnRcxrrO+
s65zCd8PxemTllrbWXrThn6ywAXaf6VewzZAmNXKa6qrsrLPPNnam5pKZJVnTbp3deIzmWXH6ykd
cEHXJtLI0SdVup4fjaJim8cirxq0G0dquGXM/E4WweJFz561prVXpqwPgdGnF3kvDeyz2bHTRL3S
jYZEYz8+xf078SPbYGBWWUhzbU8NE8O8fIxmfL9R47MAiY1j6w9t2I/ejrDqd1LmCMRQLQx7+93v
iiT0U/HlF4xzYtufw6YPuDzcL1vINfngn6JhaWV0RAqaqEsNDMBVXFyNZvdmpCmy5yWDGBTRgRxT
NlRjvxX+4nWjklvbXS83tqYTWVwOV3g07pEPd2st7w+JRVnALvU2nvomrAg1WpcRThw4uJQY3gZb
O/sQP701gfnhbmFEF4yPmc4ESSj3K02DF8dATphImCgWbn3SfJPsvCzydh2nglvF0e9j1dyWtlMf
k4y0+hwre1Ih+zam6WVMMbDWsoEQLnk+PG9+ztwIPg795JiWn7Yh3e3Y6vdZnDM3g109ab7ApdOz
T9G+es1/1ri9kJAna9JS2JJPEb6hjTe7FQxdS2WH+htZRdotSdNL+RqAaGrunFgSIOqSr1ljFL7P
QCYcHOqvK9eSd01j0hPVnzDSDiKrEbxX9YfRN6xJWZrgdmG7k0l4oa1ANmX3Ye5GORPshzLYTDuV
qPRUVMxPNe2mHdJg6XzJew+jAvjmCFJA86YqbIO6Wne543CF5uvYqqHWWOc2rFNmAySGeN265rO5
UM4vusp7SnznU+iwDzjWGra0xrYgqnNMUHT59usiMUcrCUJ+eI4HKjbOnJu2NDaA128qwzpIpK5K
eaGrxQ9mRoC876A00M8CGV8hELxSRXI+d/12ZuFKyfbB8JAYay8Ns67PNkWkrTOA6F7XIuBk69TW
44UHvJFykMhYnIps7eWqChgbp77G7lC7VH37UIgg20Rm99n1ydZspket+3QG3omj620tO/WKdQQt
EutgJBmqpIPStI0+Ku/BQ7G9axrs2mkM/97x676+yCzrqahs2Opzg6C2jPV1nnJurbLKrnEZOLO1
61XVrv2cOYFvFQ8ZscJtL5+kzB+6RnvGk2hd64MzX3HhNds2b14b0zgkrfUxRf5lM6sLXPNxWBZs
VRx2UKFo0PBpaS62xVwEd3i41XlcJLcijt/YfmtrmQ35WcvgkuEH8tqIOmpt98lzafIqyuSOaLQ0
DCztOIzd02BUM2svq9hGCySp5vdbjYK7Zx1knAGDlrthBznwUut97c5NWSEqFUh6CNgXfMq7xyjo
Bgp2r9jzafbDJu9D2x3HPdpeuWNTUlE2V2onS51aMQdoG/dskFkJOXuZB8ae2coVAQ03nZ0sw9Jd
Oi4DEy16FxWahtk17hj9PLXGdBs7rXsI7OGpwmy+IoA1uvj9tbuIS3+5dOFGAX4H6Q2veBka/iib
c/OhxtTSDFeVDwTeuEz9O5ff2mF6RTjm7x/rF1EXFzyTR3pFA2CChxho6Xh/EIR2XTX1puzklR9t
ouyhUaRIP/zvHmL5FX54CHjFeS6HXF7VfDAVFupkfLHr2/+PBwkYfHpUbFAof3mQLsmyKS2lvLLa
u4YAHe1CGw+/f4h/fVl4qn54iF/4LD0bxdiwJ3ll+7dFs50LKMrysvReU/UfHmkZI/z8Bvj5kZbf
5IdnLE9Gp3BJeLhqiG4ySqQT5nEoGORvxuI4k6X0+z9s+cV/fTjwiI6N4ccCgf3LVKOP02lue0My
kXsylqBc9y5OzlTx9O1h/l4FGCgt/32vgVPhsxWv+V/0Gnzf917DoKFYaGRYZr9N/Pkcfu81DPcf
Bp4lj8PgW3AQ3/V98kWDYlmeTvHPN3qBy0nxffJlElcAYRzwJV0Cu///Kl7gL5wblmOjB198c6wE
AG3+/JbEJdGWk9ao88lCcbalHfU94PnASL70GSk7pVav99zuFuqgeV+52TIViqaUE8y1s5vIZGfn
48hljjB6amW55nuss2CsgugVJuVtFmXFlcrgEjaza24th/EUjVR3XrnuV1L73LiFifS57MQWKYa1
8TpCYHpX4k0rDOc0szc7aGXeU+6jWcEzQWj2Ok3j9qLGi8JtEpzQUWVnuFzLsKul2rYO1WzfEIKe
w3tcg5dEGYaK8cIe1TFzxMmv+uisEHm2zbSADR/LDp/aGv4OMEO1nQIPpUvPNdxQ44GA8eqwmbgR
Gx8rkW5rzzmnd+1O5dFLhjvDTXSKHfa17IVrJm5Ku2hT9x3C7YI48oxd5aRfc5q+sPzFYW2PRkFY
Oljw2k7VPZqHCJFSAr7HYsKdpJ99PJvPlL3owVAobkeAN6HX5bgkmGZj2gjK4AyrubFxpa4d7XrS
T44o+50APbmK28E9tZ5HekOc3tIJHWSi7rQalFRll/ZO96trz0W8Ai4Trrduu5SndHFzxh7e1iU7
E1IZTkYyQBJQMFtIFY8R3ulWdtZHyuh3caEpyuS5bd32MuG1G020mOeKhHlkfrERIRxL+UnB2g80
2Nl+0KA+ZJLvHOpemXeaOeTiAJRoPkJpCi4FlvRmVc0+C/KAJyG6DNiVs6vOgq/RCLKTiWyQTHQs
fyP3dPj36fVtcm9zaPz70wsMSf/Z/uvZtXzX97OL0TxrTMMEfcdIhFPsz7OLL1HJIL9F3b4g1344
u1hXGnAQocMQg8Kdza30/exaBvo2UmZgMP8TovZfzEkIpvrpfkOZDP4X5KJj2kwzGGf8UhuMZmn2
jRaoS8cNui0J2eWm42TJWM0B24QBkk4OUmAHPacTAVSSCxeF2SfwJnQOLTQ1kejOaVoIa2OKBGhA
0gellypbWUSVGH0AigA2G3P5+tq02xpxXq+dMSp3dh0wt2ChD2mO/l42pDgR03JdiIrN2cIq0uqR
TgF8EQ63cV0uRKO4hm0kKjoxumgLwVSMcgEEEptENCaFxE8TORt94STRMiHiXdhJRjaUPt4xiEoC
tJJt+J8S1FIFcqle2EutvghJFx5TvAgu5oXRpA/ui2maN8FCb4rAONm+LkNkMGG3EJ4iUE86yKdm
YT9N8XitA4Mq4L4FwKEEkCidsTgUCn7ZmfYegMkJExEKL+mcz7X/MS+sKbVQp3xzPFMLh4qcqYZk
CzQRCZKUgIF+tlCrHPBVYOs3ntacI8Z7SpdkpeVyWYuFeSUd9TYL88IQ9N/Sr28IhCMoK7Ua/6qz
fE3ttIFFRA32aR3pzOAbOkrfAARHvINJzAOg/J2p05kawdYgBmL2fbFxvPGsnJyWvtJDfNQpkAVD
twDtUrbTviQkLCY4QZr2I5Cb82HJnYB1uRknkig69Rl57sY0gQOZRFVgo/oavLgKvSXFol/yLIwl
2cIn4iJqwal5S+pFndbXCTEY/pKHYSzJGMmSkUH/gkWF2AyW5A8pMRqDXuBjdFG/AqfZzs0WjRl5
qhaAB8O9nmT8CEkmWPVFdxYvKR2jRl6HvyR3+B36NjanPQIRcj08suE21ZL1US2pH2KJ/yAGBGc5
eSAEg0TSb0O8xMyaCQ3Rl/SQnhgRbyJPpJs0EXYakmLgI3Yo+yzb1LGN1XDJIgG2UgOQIJ8k7mNU
2MRbzJVl4s0jgS9CKoR7DJP6NLODbxBJw80GVCuvoY08g2Yn2nIq/A2bilPhmns8Mxhj4+ByKrsO
raHprL3EOOiUCCu3xh0JJoO0hHy6rCbt0FZ9u1Iyeycg5DEtoKYoeZXaw7Qc/58cUhetGSPSk/7F
KB19k7IoXkVdOZ4C1V1hWv9IbQZVXZ3gM1dvMoWoaJa3GKcRzDrzc970+qrTnHjrO2m6rbkr8YIy
HKia/8femfXWjXTd+a8EuafBsYoEklyceZB0NFqSbwhJljjPM399nrLbbdnu9psGvgAJ0Ogb2+oz
iqyqvfdaz7oyA/Y0eqKv8YxiHnHbdu4GuTRTDQoy0WlsTdFNEQYDN3WUrrUyucc9d2/UitvU2yik
40+5YNME0g1Jg2yxBRXmOcXFx7jWjkbQH1wvw6A0OmsRlgefQ8GyK7pl7xi4gz3tsa2mrVI/FDWA
nEGqHIpAPrQzyI4ksLxdX0r4+pmX7QaDC69CcXUyk8LVCF9iWPTvtvhlWzQpuv5+W7x47Z8+P/26
LapH/bktqnY/exzxnCYzhJ94o2xTinWmRD5SsPd9O9J7HzhhMwLHtEYty8O/b4sezwf+DN4GpYAa
LPyDXZEy4S92RfZCBH5kiArexY8neoytJeSaaDpF+aU1kWdj+tOwGFvvbpxx5ekTRl3PzM/cOb2m
l/gMqlxbSm1GQB+m+EYRsi9k6x2axDtRWBbLURPPHl3OtPM+znN1h8D9rUPIUmkYMSJPPqZlVrJA
CWhJA+FcZnZW4DhZ9qB14KhZF4NeQV/ApLgApv5RBGLeWIXgTvEryA0gSZHLPySp/BhM87Pmw+bw
E29Hl/QuidrL2rMvIpf8L92jPk9G2A4jKN6+RUOpBJ9aczTcGEh63hNfUvCZ4YhBf+Cwvu/ccEN1
5SNzyjd5qN2jiV0CUF4gKb5IcVbPyo+RSyR3ft4wmGAPjqOKg37qqgpgwfEIr3N0ahKEz0FUTSS2
ZKuoh/NklA1pqCMu09ii4USY0yLItRicgvOYzdjgBWf89Rjp6YHxHxPUAZKkRn4L4EaSnYZ+lUJ1
XXm0c93Bm5lHdDdiQrA/185HJjBVsgyi2r7xZBe0HkaCAlEOxU8z3xnDADepd/FYrBzWtHCdxm2P
jnkC4wPkP0jtlV+gnK84JbgCkX4zbfV03M1DD1+tQX8TB4Ss6Xa/lDNcct8x7mxJ4gZ8xtcyds5T
vfEIjpw/zTaVm2i4cEK/u2vz/FOUvta+c6gA/C8cu9kDEAd+ImOmvfmuMHVtHSYlvDEJTE5HhpxM
1jEM9fvJFoesZCCTOdNTZTjVHeaq6yCzrw2DZKpy2JP2sR3j2N9Fjm8ttMjfEaAEL6GyjlMHQsHT
SrmfNE4ic+Z+1PraXYhK2wyeiawbdZOCj7j+sJ89J1noRSlo4uUrr9fYgqpyG0WMPShiL3PT31gd
kZQaXKS67j7OaXqfOuYbwuGMtNfqgSIJKkhyN8nwMcjqS4SX0XJs3V2Szw9NnWc8fbijCpbLFGdD
PraHrJNczfH80KMdA8b21E7Rmunb0YujFY6eR7xJ7cq3cOMmOhrTtFZesfoubBDdlh1iBF0mxwSn
SDnT4W3lY+XRgKeaO69LeT2HlG6Wf29M2rjVp2mZdd0n7AjXaBY2Eua6BcxsLHV4a2I2z2K3h3Aq
coRa/YVpBZsk/5xQEHc9PrRG2Sci5ZdQyFqgsJeRcFYu+ZVgNsHatvBtKbvHpS/Mp0yhbx09aZc6
p2ODtKpF30+3QoFyx4LgI6uWtzkMXYzHj7MbnqewdS16wXAX8LFA3cVgt8s82HlCVpjPMy5A/zaN
ieoj+O/ViZXYozduuYwfpIL6ghEkKUJcgRwl73Wq12QWXxY+zq6sMZgvBSYTFT93FqkCBrst6GAn
GVOaDN51krCuhAow7PeYspFDD5tceM8jFOIEGrGvsMSEqPor/CKgiqfKW9excyzdxr6c4RmjhoZs
7PdVfFPmBh4cROlBggekKM6sOXg2cuPQkUe1y3xPW7eJeYFRLlZHjmYzpW6+8ZL2FevVvO5kmKxq
NU4hCMJjIMeYEZsb8wSHaZFv12ezAffONHBh0ZEP2+ua+AviMSDczvYFKP9jkfEpo6Ra4WKEKDZr
NkQPEtXDrFvSIfq3Ev5j9s9e+/db/h51yq8bvtqfv234hgNbC6kAu7orf2FrkV4D0xTylDSgkH/f
8CWNPwTAUmBVVxo1fvStDnaILGTy7nKAgKz1jxW9P9fBgmRyTOhK0Uuj1/lyInjXVrbCtOR4KduL
LBGgiFQy51hkTFWvJrOf2SMjL/RnAXGj10NYbX0yrB2DKw92GxKiYWlPkZUeK5f97QQz08FIgJrH
gcRtjKLqGDSlobU1JHNOekR2GhE6pvkx3BXN94r801yLzr6UXefV+UrqZW8fR8cZWEEMrYqbJ+g4
9TzD5CPxGrMEBA6vYSQd1tu4Kb3zsNLDfTDWnGmHwb6rCrL+XMB3VQfcaWEnMUP2auiP0YSbEVtt
fiHTpLs2RDI867njlKBJw+C5t+txkzZ6dhaJpGCoW/gXsebYGzCVIfZPgzwBd7CmK0Oa/h4Dz3Ce
5HK4MKDyrWospMWAORhriFk/uRFi1rSlZAYT5IB4dOL2FiIEThOUamCHU2/bh+nALJyIHYiC21Sz
rWt31tP1qDy2aaePNrUqOl2nbTFuCn26qCG4bhJChTZ2aWB4aBrQpWz8ZEXOfburfB1unlGSqeNB
zPpkzeV8Gc5zTA632ZnPCeXksauaYD8hqn1Ak2SRNWziAysZ4c1u1p26LnnhK833lSeMG6Ph9LGM
yVI6twdMco4swouJSENIW0504URNs/W8lBV29tyLuWJmllWQQiDEq6o0mF4wmKRn1GjNxy4ruk3j
xTmQ3Mg8B8+QYnoNmwRbKLWOAdLritG4tqELSC0WIUXE81EcEYP1x6ZJDsgNZzJWNHdT0Ux4G+BI
79wyCw5jEdm8t1hq5yi1dEKPGrKDigkPatvSzKwmN9+WAb5UG0YsIkywGIvZ9PxDWmviIwP+exi5
5pmpueWJt+9vtIRknKYwsafVtX6a5pCcGPID90GE4wgdYczguZyuQ7oBq74ZqvUUdeM66Gd/0wDy
Df5dWb+urA59v79fWW8RryDC+nVxVQ/7trjiibDpCRrEa9kmYccMqb4NSEzrg3jffPyjlEKJZaGc
kxLa9Nel9fvK6n3g37meaU3+Efn6D2opMlx/rqXwcOHJ0HFeYL9gVPJjLaXlwDGqqskuc6O0uaTM
zqcJ30V0ERcEyMHeHMeek2cqy5eqzz7NxRxuMaDe2OhCoCc/Tz3BRmUX7GoIr1UJXgYKT7rqbHkB
bIyWGd6fRVGiPkLHgeQ0mNANlKKDbwpXRfMB9fRhu4z94tRAxdEEln7HGz6Ta1yswwJXkYeiH0vk
cYRfvLC8+Fz582q9QO5AkjOnE9HjcOBnNPM/g/In3qCrn3ssYnOWUBWY7rM2GptwaI2FHIOdZB/J
5wQ3WBL6C6caHgdXu0vbiYUkMW4sp30IGHFvPe7kLSAkcQpYl2EbeC01SoK8ZgqeELZA1XI4zuC1
uIoi81Tg4CJRyLwhakbZX6Or0eRW151Xu8222DqeGjs62qDSljX9Whh8xxrcqW54u0yvHzor2hdj
J/DGBQ9FIx48eBFDwTDGemk876U2m1M9R/dOMb4ktputTEufV/h0LlFjc8hHDJZhrwK7iOJpJvdr
MyXRDWDei67ULmar8lkmqQYmkxLYqdxsH6OuWbBLhotBty81Z2CDJGp7AdtYklhvHONQBNtY68Sm
ClL2sA63VzPeiUY7sFHAPJQtxKA+Xuhedion21vSMXX3dZmb2wntgouPC+dsFxI8n7rEgIX1Ktbp
94neR+7VmXSUU34qJ3NXE7/ru3KTRt2l0LuTXrBro1attrWd4z5kfBUkyd50SIobW8gBrJS0pfR6
j8y2Xtam5m85OPjLgYxc2hMo+ma0RW39HCNoFr1zOQT6PojluBRmvLXj4i4j6t5TvopkFndtXC30
LPjYEDQldBNxzIz+zOkEWcMV+EM02g8YtEuowHS2ZHmvdR3tvma40zz02jw0Xc+pVq2tPrmZNHNa
QyVl0zAIlGi0jKZ4eW5P3imxUaG3MCMWbjGcdWM/rEd3LE5yyALuldpdxUVkfm0PtGQ4JMh9n1of
Ea/elD7C8kapwuL7LgF/G91ZLUJA14vgPBrVysZxuHSx523zps3pPNblbjRMf2kV+nEqh3NyJ+ZV
FkfWCtvPFZLDcD3l1bySZnaBFiun1zAiebPooY7BvPfH4ikZlcXa0m9s66BNb4mOoFEL0IiT/mVN
Y7xCard2QdHTM3rTDWReJOW91bP+6DXemT6kFyV8bZMp8cJptHAtwGgvpqy6DsnMTmFnoTuDcTkf
7A7ffG3AJuTai+m22LSypzezqT8FGlqoor1KS+287eNkwyxwRXzIOXxqTmA6HlknB4AVd4m+6Lyw
Z6TbvpU4hRbpOJDAO8oncGufOP7SHS20ZGEWTETGwUU23U0UN47mIjyyH1h1gbxNNRqeVLy0ODQW
QJqiFQvysdHqcRs0XbcJ5/7Q+gjozDq4FuH4FEcOgkQ7YTuumpRec2ssG7vaiUys4GdAhwjHm9ap
6OHE+TqFkYo7OzLXee7U3HQFt4QrznGix+ti9C+KFG643fkjXavgxid1uyi9GxCaO2uE9SpygM7d
lALyABYSGNUmaN30oR5IJvYHoJzYQHAQqBvbie+J82rp3w7JhmWVvBkzfB5zMkHBuGyQwR9Y0K8n
u+h3FZrXFRvAFeRoaMqEyPUoLrahTg50jwd34RB0R+/qEPrk1iRVegbQ8ypyALqYMV0F6Hv4CGpj
nQcpj+37G0eAvJvz7rkpYvDiKPIXTLRC+iiVhhFfe/Nsg/0irKMtg9Qryphn1HrBokqlyzDD1Zbp
SCcHCEB+AWpWGbvQebiZD+ltouqc6E1ZJlKmEGgjZb65dcpc38SR3m6YKz93XnRflFxIg59vpjbA
fsavnL4yh7+BnEeC3fRgg0iZ77SPxB4uH5MTGx8HfhBuGiflW+rvwgnnKXviso1dMuKcBoe7dAhe
1CYuN1cmKw68XLGpmlhp87BK7Ph80kgT8wdI74GO3F5LxJ3TTltsJ5+dwrmMg/J1NHi6xo4fhCDL
cqg1xRfMzwws5xfSmc/Z/5G0YE/TDWNPvHdNGWOCbSDS9aFK43TfqF6lyY2f5ta9NtknFOOfhyrd
eH58x2avHyNBKiz7/76JgpOMqltvTnaWRuddhj2cSdrzi8kedr5j4SEDUF/0NirWGnOIKeULlntt
hcgxWFKyzJupcK8NP6vWjhPaOAjGfF2W5Hf2aefv9Xp6EhoXQxv2JohF93bMJfWIrx1Q1j3VsYSv
R1TRGJfboip4vCwviwR/NnGewVozkNDGo73BefGI/00u4kpcMuf7WNhi65eqtxdYb7FOqK3VG92C
IiZcu2MeboRMmXIAWaVnRcxuHhst/paJRtFsPIoGEK6dINwu+cXWGqt2CCNoFctpWAotfoLQdJ5E
Q7hsQRcsq76EFUn7wm5r8HtorTtLjTH0ZBcHICoiF02d3iKRrkzaRgApkYV77ucw0PDquCQ79oal
L4uMnM8C3WBBzAarqriHcgk6PEAUnVXabVgPd7XHjC6PvGUxpGddA0Eo6JglBcxqViYK3pZu0tpH
09spcW+me3c2at8A4fTSUgLgDC4Dgj/uJwt18Bho6cpEL6xxcuKGREI8oCUu0RSPJvu5EhnrqI0r
oQ90daPXgWaoVoo3oWu3moVAWSqpcuIlb1KJl83UfOlRM3vs5DAHnJeml1s6zmThoHz2c4u+oxJD
jyK5DzLCnUhAMJcuiukY2m7gP+voqDkY0PvFSbQwuvhQOjX8UByOFwAZ974SYrsosgNSXBfZEN8a
NXT4EtW2zDyxMNFx24AdRs5clGEzHcOyyNeVkn1PThegZEEKXilRuKvk4QU6cRe9uOtOEJqVhJz7
7k0oUTnXDLVPYm109OYlWRyEMhhXqZKicy2cWyJq8SrFJDwn5Y1QwnWH8T7Hy5F1us7PRyVvr9G5
G277Aiy0WRoo4Cslhc86/Y7s5sM4pbemEssPqOYLqT/3PbleIMEx3StpfYHGvkRrnyvRvT5hX/eU
EL8V8avH2TjsSUkp0erPGdQMJd4P6nlvouaPYvy7CPxLpfRvOOXJhKUvVC6A0Bvkll4IbxKLACyn
N6pVps/F+GhlnPmUoyDCWkCY7N7HahAm+ZOP9SBuu5ONFSFTnoQAcwLUAnZKi6Ggsi1gXxgdAN4+
hoYRY0Npe3sPowMEmctWGR+UA2KywnWIJSKq+7MacQ0zGfAwem8emhicQPXFSpHms3iYvhgsKs3p
k6vUacse4oZYdk6pHb6UXv+q9CyGbH9fg9485f9tUz/lL1Hz8hdtPvXgd5Uo4zcgiAhLOHAp4827
ShQFKhM6RC1oV95HG8kPHng1pQr581Hf2nwg+enLsQ8R6/xVCfMPilFVan4XcyqxCx1dHEj8x5Oq
nKQftKMOEFI39uv5NHNvuT6C93bx7ou5/Ppc711B6hm+vwKeIJ4VfrMU1OEcWb+YZN+1ETGxiXIs
LeOEQGBR62gTIo5+n9Fa//51fvwkv77OT7KdQjPKqo4c4+SoiPf6bJCff/8CX0TBv/skP41AOfNh
aw/5JOaIitC+k95bgQvP08CW9JQeIG77x7LbddFlWyDYiF7jcBMEl2Zx1eY3waDUg0dBKJHrg+Oz
r7r4ZmDRHxm9//6dqq7yb79zuh/vFcFWpPkt5wm+C4vYQgZ25X0HXbow7NNAq8H3EwqANwkBreKP
wGyWv38DX0Jcf/6qDASlSpVFs8NUveV3v3R4skbb63I6Ue5ExtIAjXCW2KbVLqfSrkqV/p13e4QW
h5qoWacbro0UoNSQc+rpdW1e1gr0Zpad3kMA0w8Djs56m2YPZmYdiEDBNW1qsXE3WhmJu4kXwyNy
20Uex2vkg/uyw3rZVxujnVYMzrbhfOpFtM6QnxSoBjsxb+vRu8wQ28zxxu8eVIJlABY4cM/JsAav
AKyGlAeOuXuLAFZJo2MCoZM4t0VZVSthYYamGI/g4nRGdyb1bI0AaKoeGg7lnEJpOedHo7Wv4vg8
HrNtT/jVHf3uRWkRf1x4ty0CSTt2FnGPq8qJAntlR5W70t2MTTVJH1uN7TmbqfcdH7B9YJ/9/jdk
/dzd/+nGt3+6XejbwlEYm/mkb62dv5/P2ntrSx/hRAv9jKbxElLRiubCxloe6gM5QqvxUdsnm3ar
bwVhufH579/Qj/qCX2/fn6yDNhgFmalLtkj2iN1yoHPNgpG5/h+WI3Xp/3xlvl+OflrwoGeSfR3y
OnRs0tvxcxUso25pmxCC/sNNYPz4FX/9SO9vAtUGfHcT4ExKa8ujSxVaS0RURLWPyzpYDM069pbB
iUnp77/Cv1oBUU2inlBGT6QaP75eJrJRSnjYJxAhFArPvXb5+xdQT/Dzd/f+BX767sAGyLwPTPME
8V0dEAcN1VfyHz7Ff3qRn1ZZb/TEPLm8iNcf54rouVtTfPr95/irLen95/hpeZzYq+s6c8yTyb09
pqhXxDUpMh5Nki8v9F99OjqPXuqiKd7a/6Ge+aUAABUFYfu/fvxr8/XvwWuxemqffvjL+ost+aqD
JXP92tBl+HYiUP/n/+kP/zA3307l6//870+fM3TtUdPW0Utr/tprV1kNvz8eraLX4K+ORjzw29EI
qwJmBJ1WqU6cARql70cjAxIxvXbcCI7S/Co11DfJk/WBY4tOJSwZUDKk5Db4djQyPzgWFgfP0zHb
qRHoP9E8YWn64XrnLfFkzD8RQ9k2hgld/fzdDUwVEDZh2lrnhisyHFVJ1cJK7ISTcIzPhhJlUj/L
ukfgXprjKszJj+kKBWXMgzOri+VTEuZLq61oR1SfYpkaxuVgNNiV4y/i9Ebp1DPSWw+BpcTrldKx
W18k7Uaj1xpRgCjdM9/yD8kk9HaNIj42biKJwuI4B3PakJwYiOG8toDTXJVZuu1Fnr6iM4hWBQTl
dNnZbhdv9dg1Nh6T2P4aOWC7t1OTluY8h8m89vWpQ48jUWjIKtSPZuf5x7qqWKPynDFDOHpsBlXd
rsEgRUf6KfaZ788l7jLP9566JkcuYVc+Gi1pQ6NP8rC7DE1Cjaf8k0yCl1igZcF4ki1L4byWLcGN
ZN0A/Mgq+zNuS9wCgJCqgDCwWXc2baJ1nwbkXBgAdCgoGAMNJP8EHdBoce8NPMMrLxn8lzES/a6x
csaojEXOtMTMdolRywtZdeN+Lstqazt9saxhKlC35qOyP9IKqWHKer1/zi+3XAk4p83Q+Cu3zY5u
R66v49fyfHKceQ/rDfqJ6YHl8MItjRxaGQFNCGty42XREN8mCcjBiPDq2qFG533eYQc5WXEktpM/
ELzYqKx5n5K7sccHO7QJIhlmsjaIPSLth34izQ06cQOWzBElTAjTwkudcVXT6kKfUponnQb8jTY4
1jVZTvlrrNtsxlWU32M4BGscVZ9zjlhf8fP/1cvW9rW4ANPT/LhM/b+8ahncwX+/ah2jPGh+XerU
g/5csbwP8BgcWqR0oL8KM/4s5nQcCg4ENDQdX10N3xYs8UFFdrjAgGgoO6ZaZr4tWEqyQeknsRt8
qfP+EYRNUkq+259ZFT2WKojvLH9CUGr9dIYyfKudklI6F+EMseQOtnia4QWYMhLEQ62TCxd2WHTe
uIn1UAJigJU2pFe6Zi0JckszxkYjt2MrdR+Woiuaap8V9byaZG85TOEa0iWbxj8MVgq1s0iLObkq
oKeXQ3aNTvsTXf8W/7h1MYmcuUgOcn2WI/jrKnwuZEh3ibYf4gUUS5POMA5mO00XlHtmMq0GeO6h
4T+gMoDwXugx8Nr0C/k9SRlIZgoH3zsIn4pVyLOKZdFNbX5ua5PYTWSPRnbkE9qZDmu9zSlx8r58
Rjf3KehjsWwF7WujzDcNhBz6hLSwYm3H3dOyHOTPulXHKC18JjR2dhcF2ot5XubTeQGgaLQkX086
YxVI/Vujcq+yQl97U7+N5yujFXdD39wLN1jbYIa9r4fif29EVW78/Y14QzYV093u13tRPe7bvah8
RLbAJ+S49BaoZ76fHhjx02jhYEFTw+Ku+H56sE1U0R7OSUUAI87A5lD+x80Ib4WpgxrMM5FS/kj5
j04PUt1t30/L3I02aUASrgt3vOCtcLp5f3ow/K7pkloUl2Oty02uevw2Ux5i0YddKPEIgIlmCwDQ
fuJD6EedhCN4wQSc7sGFFQ9R5jfnQo0jGsuqbmLGojtn7JqLIfHLz2XrZ1upph9hCtxT8USjZelp
8LYzQxsvmzojbiCO7UdNJ5LN8MGTLX3fSFdz7ucXSVB6n12NKdSYOqfAMBgvwzzfzpx07hj0OI9p
L+ubwXS687YJ5R6/EOGAstNAgjtQuqxObyG7NOZr4XTpg6On+S5wGnjgpd889dDa1qGObUbWmGlk
PIDoCPvyalCjuA6ZQBAFJRgHw4ZSpRFM/VI0QWgfDeZO07gBbg/Mfm5JfocmrIJQ7LSr6FY0eU2K
c8nWGxhjeBPicKDh29GBnVsLDO4FMy3mbDp58ow1inRwJXVeXw7ayjGDNDoKLddITewwcqA0q+CH
Dx5HI398FENqPWE4d2BxA4LaBKFwDlMHBawdivmJPgAlT25G+jEYUC9HgeExIumDZ66kCHrvPD/5
TTi/imh8YKy0yYPooEnSkDNDAHd0mAvDoWEg4RrdtE3QLB3pkkxnSTGSOdMS27oYswJeRDQE0aaB
ggC7tkcDD97g3pZRugc8cGclVbgjFYn0JaxLWKHqdifiRty4YZntWw1BfqlX4oJTm77K8DjqC7N1
mCGiYHttyFB71uSgHay0lfS+M2gBBlF8LZiIXtOacY3/vmrhf0Ql/aECHXbp56zurkKSzeJTgLp0
NXv0xkc/ic9kzNStQY33aPhgu4ZZTmdNMhePczdqRy7eYGnJnEyJoPYfgK4Pd7ka3kBzjm60aCwv
QzX2yUm/IomPSTps3cY21n3shS2RGU4Dp3PCL0OustiZvfnqCU7bqXWQ42CBQa7JFtQLYbyCBwbp
Sx4CLf6GVGPkhv93arn/Dw9FlMd/vxafPTXN61+waZUB89tKbKCPUrYQiiVMk1/62H+eilBVqX/+
1uRmEfyut2KSrzJqdNhYkGG+r8SW9wFqouAZJT9U9pV/tBJT9v20EjtU+7aj+pDIwUDe/rgS9503
apx3htPEKUOuyfOMQbtI8NLBFOFyMP1jO2OGWk9x3ycfjc4AukrdGrX7co4I1+zFnJw1EETmdTya
7UysfKmWQyZNwnkZcZUzymHSPq+Zd0ewrccalpwReG+enhntzdQ0jKGg21EB+NM8e6u0LAblqdB8
bV5XIjAZtdXJALB9pkvLBLpDkLHOTCZSa1saMGcVKRztY2JsmYsiEah7MtjuUkMLxYaI7H1kGiWk
c6ykLA/9tButqYvfBssdNwGBhjqZkTEMClU870JSCA5YYtLnCFztygvg2iymcurXWopeliQ7YLAh
i5yeaSCEkOw+9w4i1pnUtW2rT0yUnSqwt84UvolBsxdZ7r7FeWrjMQwo9vD9bUstBjLb07bFmTIc
wwAQvYs6F79LZi4w3geYFTQOX5KBtQmxlUwY3NuMCDQG/MrPz46m79zaZq31YVAbrpKGzkVwKGst
vbRVBG46sgi7Zf6ayNnZWqkVrAHW2lsURdFaJ/8Wj5skIoct6jLRmegiaIDAgNQiq6qB/NOCAbBr
vYaQs3ecLrkseqRaNIpJ+ikCjB1Cey4TP9iJOe3oYxdoM+r6TQ6+vy1NbAUyi/tmNdSEg6etyWgQ
++TBc/R4ZWphjKGT9ntQiAK8X0+nMUbXIx1kHXKYrjzPd7aDV2TrpgudRTFkpCvUtrsYOh8o+Vzz
Nl3rIc0T3AJVHOAqQUuDvgFut0xJIy/7atEBnNkSdlRdQYjCZh8M7ZVkQriYJ6OCboajdo9oNd3M
ujeum74gI8Uey/VoyA6GPgnj/pgnOyOFbl758R+ziH+PsGqQ9/fL5vkTKtVfz6/qQd9WTSSq1Io2
B1ek7yybPw4GvwjvoTt6uN4V0udbMUmsl6mrUR1lnqMcf3+eXy35QdH9bGo1QOE2BMJ/smqaXyIl
fzi/Uq+yrNusnLwLnvDHVdOlw0aUhz6frCz8WHFgwL8+EeWkBiDGnG3cSmwNBiTOpJH76H2El8Rm
3AHlQklwG7v2uVW0+4yRDOwnhhhSEsu0jgisvUsLD5eAqV8FWl7v2yEKODemsfaM7YjFITfA5B6l
32f0bHIdCmYq413TEkOV4eG90vMSoUAnboZExR+SjOQ5WAjG3FqVIQqAaixup0n7COzpDkFRt9DN
GWVCPeyFNp3CyD2AAF4RtfNSE9jlJPmwCGL9uozNS/SnH82+yVdha7HmtipIFYZq5+dvU42MPjSN
jW/LYGXWBFA65njCKPSEMGhcOb3VrfD5fK6GbF61OqnA3uiuA70lqqMIjU2CqQNNu2ZP+wGNzzIc
gqPRyZOVBEyRwuPcyaVuoAPtsxAVIyb4ui/vQ9171GCiInWyrhJc760DkCtCsl7H811bD5u+M8oL
w1filOLNRJTV19G115X9oreyM8QoeyObPiZNd9SK/k2vnWmlaxMmZMvqFnPU9wtNS9qFlSa7qtGg
zYViiWHJXPkmoY8OyYgnk82BpQTzYN8OKCGKYdkqyHmBvJWQn0lbu0kyL/OxNMATy5dwCg65ZUzb
1gd8TvYZdn9zzxx813X1yU9hhFhkpqBvrauSTUt02bZlMoymMM32VoudvHHO2xFvmVWY5jLEhWnr
/nOCEChJGSQr93acj0+BYFjEcy6L1IMPqGiAyDooTLQnvYZzWfdkYRkJvsrGe4UXA0KVL3bt6qRs
McwVZ+lg4bPP65uwIS3bbLPiaJgByQjSi1dz3e2QbAH5Fam9piJauVlmbIm/RevG9X/Rke0uNXuv
Vc1H3XF2emd+HHqEiEHY6Ku2MQ3iIc34jNMCPk7ME+vQAcjk90SE5WNsLy0k3dvJMPSLcrTMK/iL
chcl/dazGScOwSFLsP6PlfkE7MdZAaqJThL13dLDgDK5GcKtZiCXOkqXzpA/T02xMfvooQiw0XsQ
54KQ32ecTinaE2CDTCLfLWqXX1eD98N9tQZ8XyO+jrgofCCC0cQCLqpOXu865KU1Qq7XPOOUZneJ
/Rn54n/M1v2Ll/A89JJKyG8AGP2pjJ7KYGzoqNqnpHnuksupvM29r8PQf/coBWD9+z3qtkMAleWv
v25T6nHftikO9wBZQL3R8HRckE7v2iz6B8E2o/qXeC3et1ksV6GmsK8Z5lcWLr/Vbz1P9Cv41KVi
o7G/qH3v27TqjwuOQRdjMOZcf3EBCucvrg+s8SSMEmaBPV6VEe8vQYPTaaYVWXaanfBgGTjJeg51
Y5LT6AAn2rNXLmI/PbdLwEyMj7hHiV0jiiXstD2bzsobzKvcIJzPMg5DUz4lnf3oNypkpj0fZ+Ms
IKB6DjmsJ2S0LUMZPDZTetUjoliLLCPoWghyX6BJ+pD4lrOBpD+bUo64SdgAfW3z+8IKjx3IhrPc
yi7dENajp+ryWWrL2kueycvaWL5xGSJJZ46DmNuLHwaDZazIxQk7drcyO/LFE2OITp0oPouiQA07
4uCYiTNbRn1isAu7Z20r95af3SIRf53s+byxvefUb26HqS8guAfbQnQIUNjzil6cnEIe0jaFjhQ6
d4Q8r+ai/TRQTTQ9p8caj91i8NxL26uPaVbg4Esu4gG8hWb4KMmGaMlAS1sYtXbvZTBsCgAfuhOf
ASzBR1UC1MSzus+dlCxICJCbUHjZRgN1OpII5fTdmd0RllhWV8RRbTK0opOEQu54m84ar0nbQLNK
AWGxu1pGiKROe+ht/5623kZ0aPQ9UB3gOLLnaOruSo1UvwzoJoax+GLq+eqqhHMCWcaEa4rsY2Xv
xdSgECEkq1hYlSThT3c3/sB+nDliWE5dfwNxdM2fYeOLJl21Vf6x42341cxQK0JpChJ960Q6341r
LP83e2fW3LbRdeu/curcI4W5gVuCoyiKFCVZww1KlmTMU2PGr/8eyJ8Ty3Hsyjm3uXnrrSQ0DBLo
7r33Ws9CZ7qvOn6HOIZRGKskHhajoxKQbZwjp9j3vf+K0iVeRLZ9axb2WdFpJMOJv3QzxEGtJUIv
LHGvRDI8K5a/wwpoXloFAvKhim+RCL04KhABP7vOwuSVHepT4IJ0hKeEupmb2pa+xj5AFYfJZwg8
oYNBM/GwRcL3Ulz96zJqadVAuJySjWp220Q30lXeDuNKr9s3B4fj0rTn8EJRPlC2rFytTC+RRlAH
pKjag2KCWD5oNYB2gjOUOVFrGtB52ppbHnBQ31UTpLayRTauouMsIkVji3GcZdbmLcVdsVcLfH4Y
JNetUz9EtriEGnfOu4Lgloh5oKJN0ybLkannPucYd0S4iXf0qcyrG6fjh7eIdB2t6Upt/Ve/U7Sl
0Vlnt3TObe9vewPGseb7O5EoDlQjmqkMYNYDZCQsDfiX9CCBDdrLHlWzRHc7jc+BMdUelgh05Hyj
i0aRFw0BqWpiYzASHLrSLDrS6thEk56txuRM+auFPn6UYHpWkvG56aAdDt1tkkK2H5xToutEawYT
cnedswnKq0809tBjp/QZpmYdjp19waChX5QagIjW4mRBA/KZ33W8MGtrVZSluUhwiVEvmm/6UANJ
UA4DQ4xV5Iz5CsjOM0bQ7Vg2lgfegpwwAYyGpphYjBIluV71N6QiFgB6yJP09cDlYIdXoO9SgvNa
nkD++Rc9Ja5ytFJ/kZgU906qnLEWvdUZj4RpZxHyWXFXyuqqBidJOQ6voVSPgsSwOkbwr+icf/Ke
FDRbI9JQneSlr6mbITf5tfnG91XOTSc5T1Pb5I8mEQNrLB/5MogcMLUdI9B0DLY+xs9toQFqsKNi
47I0IhJfVwRWeGFoHqYmPNapkVEdq84S9/BNH2eczc3iVNXqJpbmbTmxVhbajRZUugfcTdL+E89B
UF6Udnihc3PLPlKhZ6jtnWJPmucD3oBjgWFKWjzUHKce6eY8ygYzTG0G2yBVOP9p7SpjgVuYTXtT
OgTUyYTf11DgQmEi83rS7BYQGz7TvGSpKL0idI8sdBtGW9lCN+tb5r2fEr25l5VjLLER35suPCVN
7zVsLDpn+zruIP+HFmGe8PuKgAZuClBY1vFNbhsb5unF0k+0xz7BjOOCcbJSN2buTelvlPbClfqn
zr7u64vJf+ixtIXGNdaoBTXaJ7TfdxEsXFuD1mfnxZVeMjErU60m3ch+01joVxpyN9wWvNocOLeK
hZxZ2FO0gvALr8w0SVbuL+syPXeuvhVDyvIbjStaCDd0XvdhAVk0Ctp70WDcUavmomquOpsOhNUy
3xMB3RgjgsruRhu9kkRdygimxLRJU0mYOxSYNREXB3cUyroDurEGggIlF58fiAPMIaQlo58LLtCC
ICmynRCWWRHgChpbGFHmULyh2woPfd4wQkGEbon7uMj6DbkUEIqbCt6whmXGC0kxw5FIYk/ggK+K
SIdk/brwm8k9aoYsjuqkwKeqG3PXifCKlofjPLfmOG6mAS4j3MhqxeYRMxAI1pmlHfQSumBeXdg+
jw7G+4VsMHMp0jQ+RaJkhehoYxHvukUbfmWadbDNQ/XNGNU3wls+s+XE2FoGAlZxdDgCq4DKrfN3
rA2tWEKXQMQAzsIKQnhjsQ41CmEhio6HcMg6ygKoGn0VriqtLrBeTGu7U5BLCHsf8GWXnxv1QjP9
c+KLraL0+lUkKSbLAQxam2lekqp3fP3s4lr6Vg7xRacHYl1Ww7Ws7U3sQM7C9A/AZlDhrkl1Dkcp
Sc+u+oe8GTCjpTcWCdR2at1lbnUaqxhL05TsetNeyyg9dbwnGLsGVJblrSjMFxbXU+P2uUdKSuxF
dnXWFLlmgdM2gMPZsrX6iigwgk8mbZvbjT7nyxyFS15Y4octSR7JuJJDw/PQB+kyJMVvIe16lQ10
+koblklU6M9TjWUu7Rkqoc8BeWdfcch9kLK8HEQqGO4qK40oE6t3HtlacFvpZ7A3e97crdAhgVd9
eFdOgNviKD30GlttQvql3+z9tLi3Su2h9xP2iFzc1/pwKAb8GYgl8XgiMEaNGXzKRvQqGmy9KbqQ
pjzgllqX8PuXFIPXoYUwxlbsO8rvwzTQQc2jz6kJ2CbBNFgb42U3OO12lCPuh8E+ZBpcIjtjIVTC
DYmOWNcsc5sU+mWvTqDRDcMLrEl69mTfx32WnQzc/EusZ8pC6aW+7EJComlwl16PvHZhZaBMy5po
b2eS29rU8YKq8WeBw91zhvYkytrYuLIrNoFb15dZJbENGP0+jWHawXzbJMRBb1yMIZw5iSeA3p06
k3lrN8oFk8lsY4fFzuW0VdLvNmISEEny+S8E8P9+9bXPMuh/LsfmliEL8/Pfy7H5c9+VYwZWQoFj
gOYhVdeHcgweM4q5uZsICfyvpiFuAoYs2p9sEMr0v6oxzSEsF7sdSD1egH8lmXvnjX3XEGDo7cwd
SObVpkE5RsH+sRqDSZfoYtLDY6ZOpn8ImT0+DZoaOmRhgvM5FWiZLqa2sp/s0Ozl1lXyCiHpoPSP
chL1Jzc0ixvXjazJI4KnJ84yF819bbSM07FXCiB3MRR1jlnDfN7CMGt66XwG0wcbFxLEw0A7tvMh
LR2fOZc96/PpLRrOdu1khBGrG30+4unvhz1OfUNHGginwNDmBIvJOvACSVBtoI7PyXxorObjY6sH
c+gnR8pxPlyCG5jjOjkS57w1VuvuzEDKRceZtMzss8kZNYtsbZkY4nX0hytOKQG8KNqEnGtLzreh
E3PQnY+8+Xz4ZfgzbZz5QFzMR2ObM3LMWbnjzKxzdk6Q9F3iB2SAnkBf8nVSo2vO4qbEW4kK0fFK
zuGgqO4qcyoPBm/3YspNjTKFKHCJc4oE7o44vvlQ3xhDCNMsSC+J50KeUz5gfOy8WmP5b1X5NtVy
XCXukOI6b7dpjXaQCkJLiE0SIl6PiusR1cBJm2qjLRpMXfPKUc2lSAA5bBvl/D+zGzjSu8WnnMpF
uMS7mARzlOmLloS39lziNE2MipCqJyqV62gug7q5IPLn0igAzhHMqpsiNc/hXD1JuMJk+VH35nsy
yM7lXGiBlGZmDGRtUc5lWBEM+xyrQTNPxc0i36RzyaabLT5gqriWai6eyzp7LvC0IVrZZTOfbTC8
z0UgWoW1OZeF7VwgivdaUZq7Zi4enWyW5FFPTnNhaRkhJANKzWouOmOqTznGn/25HLVDdjmLCpVY
yntbdx6EH2BX1p7TLIgWw/zXULuzMsIq8adjSs1bRzq+UfyFYwFGur1M3eQ0jfZTNBfL+Vw2yyGq
0B9SSqvU1I3NY6dRZRes7M5cdoeKc6+IUOEoRkmuxez+ipyDNZIrq8yOBtU7eT2nrnaqRTMX9oEw
14pRPZG5uAwtHUc+LQCbXkBJT2CM0I/Am9wrLunpXUUvn/6BEwuaFMNB2u2bTn+BPLGdJuzLeG48
qHMLokld9sy5LcEE6TWdGxX6xPjMGdJ2WdLF4ObnqXz4UM0NDk3NjjodD/a6dUUHBCSF58wtEeBW
2Pvoksz4fNolTAHmBgq9A0kBQVNFUfN0r8yNFuu95TI3XwRdGOZxyQqaxLVW+w/p3KhhLM18ld6N
60yXKb2cVku8lN5Ob2fPNPdJs+ai9H7iksOUT64xPaE6VTcmPSJjbhaRPnRo5/YRVQ5WZqoZU5/J
QfSYRnpNbtsY+0iT+TUieL++GDoNk/2UE66uGxOsnarZarFzTwsOc0mRabDKIyA9Vao2m6ymYRTk
RbGE0qGfhtG8UNRIuwp5sTx+c+uYCxrFVodhwG7EcD9VhKcRqpbukVxYm4avAK2Gkm41gZ6FM5Yw
cLD4gbro7CbcNopB6aqHXHoEaE7jBaPP++70X9fUosX8z9v0bZs+y5/1TPnUn5s0G66jqXRAdUgv
8yTuT88f7VQL2pcDSJM+woeeqf0HOnNU7Sgi/lf18OcuPetEYf0zkRMmDVfz3432/oa45sJM9Bgg
zgI4QDRzT/W7tn3gV2qVQ166mmgUUem1T6hsQtgsiILULl2OMr23NGqesfAPkQRnZGl97cm8O2V1
sROur+Dh02kddhXM32gftpjvBf2iQo9uVDV57eBDeIybaI0pPfE0vX4oJgTUvmoHXlaXR6qO+x5B
kV6bD1RbBDLyrq79lBaXq0zrlOVpxVEdDxY6eBEomK3K+JPl5E/lWNx1IVSVouEU79s2WEsajUN+
38Bs8vNxH9rUQUZ06JLwsimip7pwIF644iQN64VcGmeVcWOLMUWorevFBXEyj5zqx5UZGxN/LLSY
Ku23iM7vRr2Uq6Dp16Y5NUs9BkAK8yqlF+y8VmEH3zC1L+uGrCvoNp4TWCsrcc6AOV+r2j1FFl0X
vZrnokHcrPwefVrZPYAwfAGS/OhXWGmK/IXZjOuhFSQUiR7LtqZBijxvCzN7YcbBU6oTf1mmTrns
bZbHvixees09JAphhtnI+aSc15vRzFwoWZ300DZeNqCxKtO/ZKdfTlEpwQj0ayag4LzdbaBb53Hq
vkRm/Ibp6taIgo1vTA9ZMGVLdRbR8SO5DAoXfS9oJ6kUkfpQ2dd2Vx9Cd/iSxi7dCkXdFNAdvVbi
N8pU/d4MrLPZjIjpo+TWDPQvrW53uzGaP26B8DCN9iFT2m1dMN9ERM30qiXQqW3ijW2nj4UJZQTP
35UeWiqAQhjR1dw0U01lLjzXqqCZhaZsUzVhAZmGAWdb8qtlDQMx3bKX0DVw3k3O2p4RZH4NVQBw
AhEooMlk7I/UldNZpGgucmvd4mL3zIn2aZBEtJGaAWUebZpl2vLEoc9QPGfiIR5rfsNML4NVL6eb
guPhAnQ6Zvtu7avtzeQYF1GfQHLQ03xRVz4UtDQuqcmSl6YYHhxYVrRays+qVhAgXfie7MGn92q0
tStyjwol3KoAXpeKSHJPVYuNPapQLjGl1aribglsJf6ic96yuLp0hgKqZx2XKyhGOzsYRyYDXb7C
T35XVBZhcRJzbUODCf7I53ouC1UJYpZz4XQCOqXvzZxtbLAMN9il6MONJcEb9zpx0d1KKnUYfeJr
8Juj3oiAKI7IMtY2oM38VmA6KghMKhkeYOYkKwMkiDhhvIhsWgNReDKqIXiM2JXYQwVSV9wOV2Vd
w0ay4eP0w0K1AnSvbnATVqi/A9cartVUuSDXISIg9KvGHLnMcnhXnrfvKvTqXZEOnxB1ej0yxUWv
XnxVrseG/pD0qhod0rxE2x6nobYcbPGiBm0be4k9SjbQ/j3IzE9Mq6IfpIvgVm1EWj/qfhdgzjco
VZYwWGz/KbEiWpAqc31lAWyUE8Z/2+U7+np2dP/zdnkTvUn5k5p2/tS37VJ/T7o0kF5jBePZ+267
RORNTUm5i7diBrl9p4RBJCggXzuoXd5V3t/ZKgiLQDeD5YKtdlYk/qsR409ynCmMZ6EOVa2q64hv
Pm6XkxFmoV5E6LQZySz8bIrJ2Xoqgle4uJwiI7pU+WU0s3EjqMGX/czLlbo40pA9tlW5xh5wTgHr
Aln20EoMmzoJH3JpbSoQvEbuHErOiotaPLLz01gB1jsB7W0sUXOkg+OrB4y4hvwW0zR6Lxf4YsXC
uCSv/JH29tK29L3F7CoDDzzNrVNwwWAxKi8DIBxa+cqdicIJQ4S6ZQuOgQ1rgdj2M33YTJrTAI44
zvK7CTwxWQ0PTIIz0mP1L0qf31ey/ZRoiHJM0MbSVdYTqGM6dYKSqtwwqWy9HuUFWkmwQIAuFgJU
cgMyme2JpZVoGAFMWdbg7EbwylWvD0BrR7GjhIIN7pv7WIXLGPfKlsoM8lMk/W1LRkNhDjudkqkv
7XNftuexyeRdCuQ5nWnPNoG5AfhnkHkkcsCDLtXhwJbAlhUIZWUBjWawE3sDGGn6sjssZwVlKoJu
7bUGNx2AnR4dC8rKTKKenP4pmdnUaWUcUmDVhgAi4FranT1zrEG1MT4y/XUzM67HmXatDuM2rseN
Q+ZaiQi/rfnOgpmQ3X+lZSfv6OxmaLRw5cPfR97CaWDPcWTEAVCqza5wcI00swpV0xtamVWhSrHS
IxPtX10bjfucdlW/ixtLb5Z2og7ZYjD60cQvU5DCkFJTB2FVeaBCDllbVSsGqS95KCvSI/Ezoyzh
8KQj4zF6ddlP9YvttyYBedWXWdi1GP14OeYskUIbqQqt5Czmqa0wxJUSAmdq9JI/Q2UIrYQP6WA+
5s4AfX3obsqWnEio2dHSrKzXuKy/6Aycp4Y+bifST4GN1ISj8UHt2DmTGuQegplV3DcGQswOMg4k
IIbDWzOUj05iNWtDMdOV5TuPYzPHoJo227zoX2tHZwCZsnWMWYNALKodUjzc4JAGylWAQQEqDjKj
IX41B3rZGc9LHuDSnPZ2nm/iorzuDGBriF3vyjnAwS6CTQp9EC+iXASqfe/PjkmLf+Jo/X0wVddU
fN5oKvVlXz9CgK0X/qgUBE2KKVryR7GHwZ1SbKptziuopkJornLgQNAjD4jD6kx+ebBLQuY9dn41
yfJiyMsvtotVLzUJ4FxXYyJf/ttXvu4rvyzDILA0z//Hw6z5936p+V0pxgZiOZpGW9R2abl82FsQ
YNKm4PQAUo3Kik99U1mKP3RmxSbCI4tw5vcq7VvD1P4D2ZOFoH02BGsqkqcf5Cq/kq9gKGfv+EtB
NTdMEa/MLxybi5j/Kh/3Fiqpwg4cELP5EBECg6VhKcFAgc/L7yNpOCs9hkRe64gQU07E7DfNrrK0
L12hMkbMsv6ix6G8QCMAskhtt0ERQGHWLKiFBU3GvI3XLZjEWMSfe58xvoY3eAF6CJZww8lRZJaz
UMrRPYVVdmdJBqpVb3BSTqbLMRnvgqApPDW692PjNsMyfhQaIaZM1eiKRiJgHdSIS03De98MEhqH
7rWT0B4cWv2N4U+7DnSlv80rd2vbYh+Xw7hWAZhhNDlXWn8cihJXi1JddQzj0VxvLLUmgcAaLjPM
RzDs5UKOxaG2xERujLFJVJcmYVC/gEOiUAuCbiUQInhG5G+IUbghcn2N78da8MYtaimjXZeKJ23W
VBKMe9UFQL6cKYCxWDleO2TbsIg4NCZtuExlsnSt6exjpNpaisZX00bdPo3Qk2ZWcOWW0QVRxhU6
GqCTjfIax6lLVk2F9aqINv1E963yhUTyThyuFqLkJzx23abOyQjowhiIAlGxwoBpjHPMvl/Ur7pT
fBH8cTgZkW1UbGuhVj+HbW56tc/sxRQNZEpjngDH2oIMPEyXHXyR1KRLPNZbWmZn3L9MxzPtUA3x
sFIrrVxFFqYjLPf6ZtL1W3OaCWOdu3QU6w5Xo3tRdfE2gYm/tCv/Sq3Z6Rw/WftRukc2f+LEvGxo
g6V9vi4Gt11qVnTvmrW5yQfd9fyZU+amBFpG4jBW44NeZGszJ6OzH8tdZnTnrlY4g0z9G1ceVoOR
vnWi0o70mynOtPEUD8Ro+El4cFvFv+wM+VmTvligo9V3ZFfZT6GSiVUlWtcClIk+XZ3WVkJOkYw7
0IudQqsyKOrrAVX7HCY3x1gYJVgXy3ZendLpLzrAeo4v1rIcto3hr0fL6JeGLx9dE+ScOeZbE5vs
qsLRwF62lT1wsdbiK3aYgClZON0ZZUGDXYdWZ5TiBqXnvtHGtzSskqWWWOfUD4O9PXWrKSMHAbCk
BsF6ldjM4siWeI2n0t01hXiFxxEswLyxO8EmJym4vm6gpfEiHnz610sh+xLlhcTeKhQkS+YK0c2c
ReC0C20Y+cRAMz/vg3Eda/6XtPRPqRwJrs0a9diFbeFBSEenO0GR1XN1Nal2tQ1aJtRat0SzcNHH
er2MfP0xLifmknbTXIZkWB+MXlpvquont4WK0jTtnBEpVxr2xeK/3el9d9IpUv656jm85a/FS5T/
BIAxf/DPwkf/w0F4j8OJFs8Pm5P5B7UGZmgaiDPCGgzKN+PUXC3x+kLn52QPogI707fNiSg8C8fp
O0zjXwX+8G582Jhmaa8FaoJoAgcXAlm/6D6/7xGKtAkc/EfKkVE3oh5GK6o5vfl9GFAbpPaiNWB5
IQaSY8ApilpEnl1q52tddESfAcTLxTkI3IyUOW00lrAW5b3vRGJ8gfuKkiD0Uc7oo7mJK+jRNesy
nFeeP0SL1AyOKrFm984GR/qw6krFXbM+PORlor4EVZp5lT6U6yLEN9i3DTCJYJ4vFPy3hiBPvk10
+VTOqyamT2c50am76HNxEcfSWPS4payQkqZulU2rt58zoNGLjrBMCn/C0dNZIK6MhzEo3EUGiYHO
ZHfl5Oq0yGQcrDAeGxs5jtjYMSJg2xoaWNm86CMx3Q7TvIXuy3I1sejoIJZOcY2uLR+b9JEJ2Xij
afeRWdOnUZKrqArCJSrZ63iCHQxW9DCqzDcd5id9VL7UUU/xSPvQbNJm4XRWvxLOMG2AG0YXuVBI
HDKiYZeMtbqqrQq4qmSqyNRFLfjOHH3Bz6IcoTWyoQcurZjCgLhp0hmsrUXSFcP1xGwHcLGZXA+d
CvE2DLduwhSU5h4fSqYpWjMnyn3ysHNC5uOY3ELpzzmduphz2gcEYLUjaM/GwJ9xjWH/vbG47KaL
41Jd8WDnu1x2HROPIrrwbcU5RCYZDovG9Q9gtmonP2hV619rbfiYhgS5h7n9HEhQ6H2d6iscL4+J
1gQrvym/MIvMPHLwLlmAM2gG4zFVkwKeZPYlnKxlZQTNccxMYmyEKTxTOonngvZmT7Z3sqvEhY7A
w+viEeMwiibC5zZmyP+40vG0wWqdhfmOX6eN1fMXaN7B7BIJiXnoZnbiaAhPK7CZnSgOktmrNs6R
c/TTPL2myVjGaXMJBkAFTiuNI14rpDKVBfXNZNKjFMWmkDMy2ZnaDfkaT7OjoOEIRc71UF/0Aztk
2gXa2jJ95yqB7a5k7qtOPWLH2XXRtne+YhzqUujI/pTyalTAOOu2ZDpaTIi6cGZkuChu1dj3V47z
1ijDPkrFPjLF5RgW7krE4aZC/2kX05p7PiIwvLQyAPOdsre06DILnRmHZfmH3CkxLtslJ5iQjt04
BLsqTHdswduk4kdyQnbhPooXSiwADCfOc0ARBFozOrJloR7LqbGUpsuQsFWeZqc78rFWDq2ijHyl
vkhQ0DpfbIzTpDuuGf2vcTl7aoeBIdCx4uBqCMt4J8j8cPvB6zFKL8LGgq48pHdOqh6Z7N7Znerw
kLqFffSZtlz4zvSlrLSzNbU7Qaq7kWUruxkMyCrD3lISD3vnc4jazqbdSSlfEprjnOokPzuF/uom
vMNZarw17ng2sYAvs6rkiDMR/GB6Jb9xFsMjNkHXBFnndZNKr8bPXnDY3RI3SPBYEu9kG56mYjhm
cycknk+axVZkhcdCygHeUq+zfLji2OTp07jL/XapcOIG10EsYLIVtuplZby162FN/ufAShS92E4L
9BjveOt6CdhvsryOeak6q5xeMXErKJDb4KQT6xh1wXbgVIGJ/JIwJYKDoueqhT6fDF7FK0KnzPOl
tsRB5vkNeVvpW+G354GhT+yoiNRwiPT5g1WJZT2RAWJyDZw4pq8fSYy+qRt7jbaBNIHhbA7unLWk
cxJMa4yL6iajxoUHxBPIbAj95ppYwi80hq9Y4dYjYNg6dJa2M7i0tMId1qAtKeIPqtYwh3VubLt8
cEJyu7rxus1g2pRvlUqIPf7OhTBmRXa5rv1xBuGBFRi9wAivDcKNi844M5H+oikNgyJiJnvkAKq6
Vdxu69TKWg3Tm9gqLhtaOXStaU4REWNb5cpXiA9R2zWv4lXtOmvNqC8Mf+SC1Soo+cJIllwWFbJP
VC4vfVs88EeZ6wFGyFibpcebRHpyiHA8J2Mgr/E3KXta5LtJEauCgK9FJ5N1SKQxmQsE0rnwrOEO
ig2znHv00U9NxQCqFDswV1hWTZSKjdzmjrWjz4N+w3I3BMg89FK9L2R8hm658c2BkXTLd+eugrzZ
isbi6RRQUbrrvEj35ZR7ndLepJHYOoN/ZKKzy83sovO1A3WOQ1xptM7S8UTq8o4XDGm0cx1L99LQ
hsfSnqd+2L1017nzJTFZsj7mtXVuB0bKjlbftDObHBjwQnKSRNZ/mVoB8SeVuujT4CDnhWoqHsak
2et0Nssy5M3uEfH0Xt3PbvF875f5nSzHC02np6Kb4VHxsXRhwU5vcP0P3qQ3F1LFF9HTZ2oSNp4Y
xLN9FzeZ2OmQoubwg0fTYlMHzBJT6CaR9mrTr8+b6iGR4U7VtSPrLdZfmeBNrPckWPJepgTkTqr2
GFp1uXaN5DYjBRWXYLJJDO0UJ05M5YoNjXzBNYX/1k9s5NxKtoqmAgo7ka9BH3jaqC+TFItAmJ+G
AAWlP9DeGV9LpaSgjZ8b5mUzvYY3gFzPuBOrtg1WErqFp3BCSJrWy1I2icHNtx3jw64jKy5SN2Qs
rSN1WGERY/1Bbo19fFoPWb6Hnr6XDcxJC2OcJPGAaggKFoPVEIRDrps86ynvKVZAraCObg4TOqpa
li+tw9QyrinX0uHQmfjjMpXt77sj7U+8Nx9bF19PiCjA5pG00FzX+qEt3vRSyjbKlaOabaM4WRTI
5cPf4QD/zoW06P2DeVGJmnPIb/h4DI2UTLUtU1OOg/NZ9pu+fRyKLwFuD5zkv76dnx14v7/SD+DB
wodjPvlcSXfAjaCpECQ3TrsCgXX7FJG7++vL/fTb421irIFihBj4jzdG7d86SE6DU6c8Ne2+Cl7y
9Gtr8B/NUT+7I07LHJa5DBCaHy7h22JQ3bEMTyDD437TjuMqDfFrBtgbEIc0V//6jkzNpWjBDMjQ
xf6hYuhyu9ZHtYlOcLYWkcGoItiUyW/uianOd/2y94fuw0Xmf/+ddKH2lcayfS4SI7lr5CWkkOX/
32380JEjnhKdFMDFkywPdk9oGPAUEf3mIsytfnkbP/w0ZQKoq8vq6DQAi8UV4EYnMwJeIh4tejv1
UQeZ/+9vi1QswInMyyxYHR+/uCRyaN/FWnQS1XUFl4XOm/C//PtrQPSgwW/wHMD//XgNAg0U2+lk
fKILsiKGQ+QwYdK7X1/kZ1+dAfsRialmCP1HzGnRh0JE0RDz+zzm9mVIpRizGLg+iKS9CRGh969/
fcX5mfqrR/v1mfv+ij/8WKHLYbbUxvik4jwG9wXc6DeLgfZxNZgpJ5Ym4KDMJkY60nO5/+GxLkxw
G4OWneJLDPE7Ns8DKMKVdR2eLQ8r0NrxlPWv7+rjJf9+Vz9cMuyIHoEgEZ86u6ZMjha6y6JQbH99
lZ9/d6iBVXZO66t987v3FQuOLZoMir1foSTR9nNy96+vMH/7P/46pjY/bS79ega+H7+6EqSdNtZK
fKKbBrZO57T5FJkBlv74N/fys2/s+yv9sMBREZO0Iuz4pFlvoXNt+TfV9Jvl7eeXABamuYI3Sfzw
qEVa0jnmFCSnPD9aLY10dE56a/9mq/vZK8TD9udVfvjpUXuEDZGfySlKXvA/+YaykiZN1tZjHKwk
m9T6zW/0t9uCvIOyzSSLCGEcfLWPvxGperhlRJGemm5DJlBvr6rp/OvH4G8P2g+XoM32/RsEmJgv
NKzSU0/4h6ZgHASv/f9yCYCw0IkQK/yoA4iHIVMQY6WnOn1Rph3z6t9c4G+PMveAi8jiPaHxBpHt
4z2wdIpey6fsxDkvay3E1buIkUHuvr3fyH/SzZmt+c9d2Tm1YfEm82f5+tPW7Pzpb61ZzfxDMyhx
oUVZxjtK+C8JJ6AVVjPbVOkiEWvGMvBtbmjxb4CVQWaBWECkAy/et9as8YeDaxEKKHvvOyL038wN
Wd54FP5a9SwV5ALDQgBZJLvDilF/eNzdwVJI9ESLrmAeZbwA2slBG7+zO5a/Thpjhi+OnMqFDdIO
gFoyWagv+6qO78Y4IU98ontylUvdXOYVjAWVkbvaXRPPVYzPLbJRomuCoZroHwxpF+uw6OhjG8PS
eJdEJEKrpp2qujKoN02ppOGN0xBaIy2IH4tcETQTIBTHtxkjqzuTMGOd+aVK4w3dGFsNaOV1WTJJ
K5q0BuDJeD61WvEp1yhhYe033aeSdOdhYVjlNHpmPmmpp9RV7iVGyUgt6UryVuDOKVZpbaE3E5iq
dal/FKoWOIvUiaPDVBOd42UEIASeE8F3dwt9lwdq5mVG3B5URWRXws67c6bb4UrSMza9mXCO/IQ0
mjatnCedqMaJaHe3wGVFaDZgLieyhBdTU54VoqQmb2qyaJtKMb1kumIsw8Ac69wb1cqSWCRcKy79
BcLHpNg5ndFsLMkPwkxmULrHJkLQTXAugg8TCyohupxm50jd6WvALrgyWGGkYzHgpu8jg41Qm4nS
vIufDDevr11Ri3WcYshepLUZ3uIGuXKNuiTYWuHbPOVK0AH+qmeBTOAXbbWDX9P6RyfS48ckrfVb
BnwpsT52C/qqz9Uo3apGTkOI0FM/3lWajIeLTNCxfbN7J3hzDVds0L37ZAaGANAiVw9pZNcoJBUp
luTr1g8kZJTyWJEjiGvtf9NE/lu5DFaR361cSEV/MlCaP/lt1UJJZ7k2tR7nYsZUH9QOGnHT6NfY
ht+V56x131YtG7U6vgK6I6x3xmwc+7Zo2TP7gwUNwgurDSeGf7NoGWI+V3y/aFmQVzUWQUvn7K4z
Vvq4v9UtXO0ucRSS1rIYSMGug+yGxMcGK6U1BYSkcavUJnEJYXatwhT0ugiPS18l9/2I/jSNm90k
sWeXMRJP1baxxfbojasKiTqa38//w955NMeNpVn0v8weFQ8eWMwmkZaZyaQT3QZBSRQ88ODNr5/z
WF3VkkbVEzXrWvSio0Qm0z1zv3vPHYvpsUqnVynqM9nhw4L944TLp9lYcM9CaX6K/GZX6EVKhjK/
m4y0DpibfHH0JBhcpw1CU9z60JFWoxfaTJybJzG53yZy69t0lPeFkX5SNL7Nki3cbzUK2cnGPlu9
7NeJLtdFRmKemjm5ruksJtrGHFdrdmMG1tOivHDV9sUVc5IxWdthRYkIZYHaOpysV5kP2nybjoM3
bFE9R0YBVdtVD32dColtQ7fIkEkcABW8Usn3kovIDL1UAI2qZ3Mz2FCsMk7BfTrTc1XmQVGRVetF
+rVz3fdQUIYcJh4Fs901K7LRVi7uJmrNRp8IN7ine3fS4WcUxmuat9pqInG+mYntBDQlHp2wba9q
UX6ujTiljSyPgSDb8wClzyks47bOItiosQv/Z84eRDxsMpcOFoIxYj0J67mkq5IZN3yTZapOZGLn
QHP9TemCS48kGJbqutXbXdHE29x3ryY7fKYgncBtZs4oMHhYSksc9B4eVMzz3pgdce3QqfKVyGnH
4u958qIuuRqUJ0Uqd4qnfCrhaBaX0BMPuZcP20LiqfDxoViUcNFDONYJVCzQBpsmdxwIEKN3Xoz5
VrR4PoTTKq9H5W0aKe6VLk13GiWvjHXqyN9qkwEsy7mlX/oQ5ssuGyBFCQb9Qxc9dF5xmfxhZ0wG
4wkxUKvIOz8S1krt/mAV6ROV2USm4904eo+FthCkaNr91EcPslxOzZjcN0X/nHT6Xp+YD2Btljge
ccMsibmjvtTeCh0WwwRtlby/OPKWQy7s03e6/Nin+Nu0mSgC1YqE0gwAUou7Mxf7FXPzJlRAta7P
z0sU3hV2LQ+z3VFXoFn3ST9+LjUC1+1D0+t64Nf+bRSna9kOYN+Wq8bRH4Wfjmiv6a5Nmn3CRg2x
wzwDdH4t+ijZaa6zVfbOlUltK23DRNLAMPAJHd/8UK82ohjXi7NcjwLur/CeDGM8Vq2GNWLCmmN/
NqVw1iJM75covkAHxn86KibJY14LfSOMeVuXGeHyTLsOhb/DtgqDq/MIepWfh5CiAXMMT340038+
5Mc855/p/nHs+m41NsXBi/rToKRoi9bwaTIByVY22qw35saWfrmZLYt65rtYcFVfaU70kqrGUJuU
ZmOLb4vW7rNkeGn9cTv6w2b2+BNM77VjiFn0FsYoIhmm3geYfGjXlc+zyyTAKJjgkpo/eUZ/5+k1
ku00wihpzOekbw4jAnOuDSEzZOvWZGbEHffWKH3SN8twtql6Dia73IVl4x3QIYB3urvEy55SIzsx
ffzkMg1a5fDruthaGzI/x2V9BHb5RF35PTRSdwXw8gvpkIspmnMyGJcpL/pDNOtUOCTDPjfqY+0b
d3xIrqqe7EDcEIQLxRZEAtbGfngujJoRupVvh1bcwFQmHagfNZP5Vz1qB2uGqcT1sWvgxS/jfmRG
ROPlafI7YmrLbTdkJCCKmnL35jhJPrIe7rOizT+FonzNGHVjIz10jfXOYOUqrpwDx9rHoU3uba99
QD7NcfaEgJxixoHe50xIeHZ0OCx0FRJ4OIGBvyo5MZHQHRl0ZMdkKV+n3Lz384iaKA7CelWLICX7
aw3JtpTyYkN5S1zv2z+3qt+9LtxT//pscv0m3/63B1Pp2X+eSoCuO7qFwZFjiYUy+O84HBBM1EIu
UygDSjTmwvTHqcT7TXHdTc9FO1J8OX7qj2OJ9xtpAJ//YtoYYQTo97/hwTTFj9duPJgM2cgJKByZ
DwLiZw9mU7cFxmRjuUjZ8mkxOkpvfWzh0p4/6Wm9C2PvizVS+Qrs6DMsIuK5E5GuyTq2dpjTKqx9
UkE4Yc9ne2GIYzPSpoqgI/WVXJwk386hdyPyiGZIvTeItYldNvnn0bRPVVHtvMjf96lxwd5POSdJ
J1qiKKPsnPHesat+25n6u+aU0HPJ82SDFZ1dVdiuwaVdeTUmOYOQFGnkXUGdubDBZUvDe3SledMa
+cX2GZz1RPcY9A35I7mYXTiRV5pt/zZPI3rpsqC0FW/HxnkS5ZVYz531PlZRel6WXuLD5XFme9gt
WgPOu6cy29H3hQbLJJr0Zh3SBrHpfPp/mXLLq57Kko0hx3LVG66/zuIaeJcNUSX/HJH2Ug0VJLbb
XV83TLLIfO1YeKatK+JtNWLGK8vNhKUvwJ23bqxcPxhzdTQFdZ+6RsIJA2PgASuhrds9jVlVBf7o
3Nd64sBDbLpAAy8FabGxLiTzDuXYC8hkNJvarZ0fOFFeO8AgzbLsgrYLXyl8e0jpcj8kmrm35vAd
CatcFQwjPd8hcmSnI5IoMXrNsvZVHFJJlhXigXWfWfJkH4qynNZWJO8I5u7xwrhBbGNtiLh6BlXS
hmhEA4XrgtuVTInnlW2/WWLIOnUILJle9S+Qqhjb1pyzIMsYd36te0x/MziRHrspONC11umsxaPw
MyLQRoFpJiwPTq/ZQG6olR01LztIz15PrkV5nmWZK/pX011Hk3K9b9qoCu+90dOudCf+GmmVpH4w
868WGbM3582hqaOHVuBfFx2oHU12QdE5mzbu7c3gEewYyupYes25bYtv1YRP11rGo5iGZ9mytcAQ
euyNGsyZ6ZvBEMrnofXExm2XU19i4y2EahRPb5fOG4IKA3432ueSiN4cao/dqIuATvk98gJ/dWRd
3Dba9XQV2UlKmM7KqpWftbvUNU65g0tM+N0rhZKXQWSf/ClmFwEhEBm1vRuIh3Arr5NNk1btNonL
N19k5ziiZySP4g13onOZE6dTjUCjq31NwuQT7Y1UM2lRvEoN8dVM5COXk7VGGn/V4Nt7GxqbimTt
ZbBUrXdHN+AEKwGPdnbrZNYr4vmx1d2v7tIeZ1teL7oFmGeh7aeysTZXxrlsil0uasrJYfaYMHWa
BhyqZsR3QyTomU/mV8N9yLSNNXtHmSRbfyBKSaYOJr7UHpIBzEOX5bfY5rSA1MeL1DrYEH0YwFS6
iblCBAT9CHiE64Iac01z9ovy0KHBYKZpmP82GZyp2D+7vs/umV3AKAW9xbtuMB0f3CnaZcXyClW/
25KvCRxvzzEzXeVaGgXdUJ/6cTlgff6McQrytK6vvWL0VzJJ77vc/uw3uCD6CR9tWbuPkdYBxilC
vsS0+K5MEP5FzVq48peczFPJVvz7xPEfNUBtkX+9457fmy/vX3+x5/JTf+65uETV5oh4+Ue4Qbks
/vu/NLTE3wyLvZX4t8v05TtrKQjpn9mcf+65Kp0ukDZJ7gCMULVrf2PPNT7G2z9IAR4iKHsuSy6z
b+tn84CpGXi66iy76MLqmis2KSmCZCgs7cmrMheYsQO6JOD6W9/qqu3dKLj6F/vpcOB6sCtLCuiV
la7zHnGnsaUkw4NuWg1LU17Fz2GEj8LpyoydC9tT0YYX6L/p2oaBv5eGnQcJrUVVNl8mDdiZ7xpv
IYI84LLsKMVyUzqwm9yweZy0cidt/HK9Nz0uYvzqSPdOmhW/wFzkPpps+Mtetbda/xaVk1wG9+Yi
LfDC6cLZyLHLPoX0gWuWCYlEzF2QTfrFq8LbsWCNc+Za7CMkVdyu3n5wuOEXGdXwjvFiSZUTruae
Ogzw1VVVDxuGoulemkW+8RvXg7gROnzH4ueearp1actsF2WAHhaFfDAV/KH/4ECMCgkB4BgrT/1B
iqBjbkbX1fJ9HAu5yRRSolVwCbgA0Z2rgBOOQk9UCkJBaZJ9SRCQgkgHUTHDqqgVtCJW+IpSgSyc
2u12jYJbxB+ci0EhLwzYF6GCYJQf8fS4GVYIBhg/P2gZqQJnEP02j55scLAU/szaD2SnTq4slxPG
gZWfshkDKt8wu5n+Wa9Na9330ACotTnHpC370CP0ojSBUk9XVrRshV3cWqkPsg9QJUtQk73nVf9U
t9mpEiJaA0rc5V2WBeR+zqQZ6S4x+CAVyDGw76a4vJJG82Jo2SkdyTDWBjBVanE2nToByvoGgto1
knDfBXHnZjd2OnM9NE1yZteFHafLmaaLciWycZNJeqdMawhx58aHvkAVn0LcU4SwwQ8s0ZdlYnwU
CmKJ0sfpWSmYi+2X5BMa+wsO2kaRZLKAuol2bcbTpifx6RYkcqZu4oRW2vj9hjSYZ7bOEHQ1x8Vi
7Qm72msRCjtN8Jsp4V+m/N4Yy5iLESTIhA08zfZBFSwWhLk4GdZiEuhxo9hkjZ3gScvaKyG6IzU2
nElsLLiJ0oMEwpCjFKIQqWhUtV6+Uo/CsnU5EzF+V9oSTnafHKv7XoTRV7STPODbFXRKkUqVNKU0
qnnA1KtUq17pV5VSsjBe+VuPj75QKlcpmi5ah4gS6FIfENIkdavsqlRy2D83to8bm6p+++v94z5+
a7tf3NnUT/25f1DcorjPfK1t7AjKO/Tn/mFynWPdZlD5B6fkj2iC/hudLkTmVHhOeB+w6H/d2WjX
Qr8xHXVrE1gcUJn/xv5hf8xaf9g/QKXwWxi3q5iC57P1fT/uNdSDy5xxryBVxVelp7fYGh8RcTlj
1tpFxvhC2iU5ZzmJ42bmYDNHnH0XHY1u8t6rPjmzQT5YGVJpqdO9PJt4ANuIXJln7r283zpdCHtQ
34Py3RTcd+i7LdaY1V5auwucBGAKMC1aiuq32AV/0vXvuEI3o29usKgDftQloSzrC3PEXTT7sIzb
CuteUvT7VDb7xvePLWmCyrC3i8HhDT8raKfh5FAV7Y7D9WjEPVxGK6G+2njLSY8aQjzHAtugG0JD
k3Ux7xo9B9Vhe/HKctore+qGrRfKY2doe9/E1hin9+GAcxCpayQSMEG6xhrRenILBknsC/64IyYb
I1i8kdhQSQMZ6auLb+ZfaTeRu9mg9CqJuC9qc/jQ5BUhJND7ohxxXbbpOQPOuU4iI9tQuJdD0HRp
y56qmVyWtyECTv68gwKLCaizG43qynLNbnkbc3BclZ5/xbiPrIjdnQlePNRxjz92uk2mRNv0C1vU
DORTLB7+Xsj+mlHeskQXK8vzX9JUv5tbSWoqrFhLoMYGs2M+LEXyAoZ2PeYI6KhkCJFJcsJRdkxr
8Y0AvrNPlwmdLOnnTdw6TA1D87bv4qc45e+PONszt2Ss50hrD2ubg0VpWiii/XuVZgcNgtgYcQdK
CHDMne6QjeRxxNSSp/ZL8pYcPebibmq4QlYU06wWs99FkQsurMTC3s0+EnnKz+UEvNd6kVk7ODyX
qvKeAO7wvrdcC/SpZr2VL3qfnCi9ODWJnxy0SGfDd4jtWUZJg2k7c6zRTFbWTkJvqUBr+qea4SRG
0BZabZtcEyV54fwEYTdnk+yTZj1Z0CbJ66/GAY1bz4d9rYsbwwAXa4+qPpXq16g/tKX81GvDrmpL
FLVqy/jDB2WeAMZrBx9g8MhcOY8F+83wvNTJezsYgZZOO0IrM70M8NxKB9rqzLOa3ZuqHjn2+MO9
l+VboKX1ct0N51BLtrPwD9FUXnS7vDGGcJ/by0XrHX89ULBoqGBrj3e1r+JlbSxNvnJIX/IBBezq
aOS2ay72VckvLQtbBh7cgmC0eoz7YvhG7Jv2xsIkUi/VVzVrP0+psx6JHbjp1B8qWsuCsPcxWpf2
IdZre70gCzcohmay8kp/2mnaRJh2MjFnY/Xe+ppnkimki2eKu6uK/rNtMVhfe7uzSElkXytzeGZg
/oXxTrqpWpTUyBxvaGFSrFEq4ObO6TYsR4MZ2H1pNEeySd2RtYdBgyddKIV1TflJ0R3sskidrdlL
x/7EXZe2p9hqKH6yZsl3qS7pOnEnmqG8HgVm45WaNVEVh5a2tzx9pknKxPh8jZA99/e/N1CNfqOZ
x37qIZPbjEuem8UyhkvWyX0VEU2V6Zxv6Lu0tkliR6taLG96E921zKyCLpuuLKvst43WTDtPc442
+/8aFCRBq9z5UldVi73Z4TqeWs8ZFsAg5miC7LE4V2bFhzkriUPwz8Gj29WrDK03pkjGuvNS+j2W
+lvnxwO1I5VYWSWHegE8Cr9zMwVEF84zSZQp8dNtJrUzLZu3WtgfC696HZIRRd4k2guUuNWxMESS
g31rTlfxfLDFyM3TlW9JVt05as7YGXa8oUiArGk33gsjvQ5b/6SlM7kj49uiC35LZH/LhuKRSfha
W67gGqRry242YdTcZRNLj4ipA5vWE7OF2D0LGLtrf6oUafIQo29z3qGatEaBRoQprh03W8Bz+OSk
NZJx7Jjr0bUXpv/9eRHzEQZOGPAqyL1b1ggeFWQ4zoys7ZZcu37ibpYGUnMZag9dtl7s6MloOIt5
Vgq7RuM642X+yIODHfQzf28uPoVPE4E3k0qdYAQXdCkmSWisGk/SA7jrefDHI929EPQ4g9Msggk5
xacwlSYokqPdm+OP8OGH7H4ml02+lex46LOBMAL5FPa4UnugIHS/XqVaxt/YL8997cdbvnVgzLul
WuFWodag6t5b3//EAr0VUOWzIiagEZl7M60+1QPKVuJOASLIgbT5zeDJO9+uPidsdCti99cW508K
jsJgKK1wFy56E9iiOUT0mrHqjtGK2TJdPFl28G0oI0NUBqln1LvWpt6VcN0lS/obTiLb0ugeh0Lf
Ey7iYN0T85t7a9pkohg2QvfqtQ88eaeB8Q5cgtRgNgbaXQhbOAbIUholfXIr+UXAXFp5bnfVlwhg
teNfue30KWf0tpkrNkGWrK2WLNFOG/VjXvpOAJ+dui6+aXQ8GjeOjoCktRL3fim4xxp0jFEgAUfQ
rEN6FMyDZSU3QNQeNVFFW630ECGTkAXOHvdLYfCVIKhk0GRNfa5ZrJ1q+lJW0ZNp15e2dL8slkkL
ndjK1nmusoj+F+msO9TgsJDPovL2XIzvR884mqkWmAZ8M5HH5DTGN5Xd7F16FTNKyPvkdtHdeuV3
4r601CJOMwVrfRz8c+z+OHYbWCf++th9rsruvXmffyHc8HN/Hrw5KOvYaCjiwzMLlPe7g7f+mw/v
CO+U4/yrMfGPYQkWDk7rao7xo4Hjo2Dax/KBI8TB8Pm3Tt2uzYXgJwMHnmtqcz1EIIYy1k8GjkLm
FikJmNuFuQxbKULA8cJ9cblsVm7/ZHTOp2y5DdXmXesbg7bkvos+MSCHo6aQrpLgTk2zMuxQWpbN
MftUqNpl2OzpbqaJmYB6B2AnOkg6mkVU0pzVV8SMm5AthQu1IfRXFH75WVclzyajh02qip+XON2P
SePsWaivaK1PVqkZPxUkv5gXvCykw3LpNYC86zfcb7eAz94YZj9PA4coEoJnmOwVZP4MHGed0tXC
wJYZ4fA0C+816WRyLKUeYhAAMidk+inr81cB75BZfnQI6Q4kpbvsl9p4Hdri2i8bzqLuPU6TjN7F
2gf8xiDhUx8nL16i7UdRPbWNFl25IHb8FqBPOVzrqaCudr6e5uRaQWvrueGuncRfK7CkUQf4qXbG
a1/xWavEOFjVltz0Kp6JFhr3UX1uSFB22Qv+DM6OkvE8R10kqGGdW+TeOHxz+U8Nsl0Wg2a7bdGa
/FIZJMgxaSenqMZ91UGKCJN+M1bpHUvJyRHoXha4m2DI831d5V8bkkfrzmiRFBqxayC0B1S53DAP
oWoAy58Ih3IXl2QoE2LGecnj5ezINrcq320+i2VO1gwbTrG3rCsyU5MTcrDsmeR0ySWX/nUhrbWT
UpBYzelpjKBZWe6aLRM3o0UiMxc2VgRFfo1IWXKUHXR6dixgJm7bBknCECBx4WjMiU98t1hu/M59
I7nL1kFlF5CmIFTmHgOXx6jsPi6+Hwf/z6yMQFad3pXKGhTzzml4hWw8Q7UyD+HT9k61plPMXJ0l
/iKa6R5j/EZSGY90ZUFalBmpUrakWRmUwD8dmElU6wHvEidvCWMKO1OCrylUBqdsmPY0g1bbJjK5
JMwO5p3qYBpJynZAMJYBNeD8i4UhJmNwbes50VAypnIg1T0z3E4Zcud6ApdihKzJ9JsA+RXNBifB
WNxQ8/GcQbnHwDxto4MfRzuGrRygGamPjNZlr30i03QQJfhLRu+V4xwyEV3g676WjOadrOZFXcaT
xdDe7Ktzr6b4BCNvc5oJqAemvsdZl4z7pV8ddOUexwZA1vMqsvAFNLN5lBgFRgwDQjkH+oVBYdQ9
j8pT0FrLNsFkIJXbYMZ20GA/sBN5xFsBmmPGAKocCilWBQvLQiRdEq8DaXgGTuTr79uqfYowOYRT
eu4xPcTRfFeKHCY0X/osj9mzkqcIm4QdVVxxEw+LS7lzlJMicbuzqbwVyBQohdGB4fRtodwXkaiD
GDvG4ItnofwZnsjztY9lY4ztU99wcFqUmwN79jOy5d7th0Bi9zCmhe4oDCBm7rwuGEJGDb0Qg0iO
UaSkQK5VxpE2Ag6HVriAJ04+zCXuh9HEUJ6T/MN+4iknyqw8KZpypzROfvSxq8B+PkzKv6JxiY3j
+GJhbAmVw4UE5BmAGjFFZX5RLhitya81bDF15V83yifjjdO2UM6ZBAsNw+fThKXGxDyjK4uNegth
E32WmG+o396YmHH0SHuaMOfQpHUtsokWBrfaNNh3DOXjSZSjh1qjda08Po1ub0vl+qm94lViA5r9
gooljEEZBqGslOO6xTJErPmqxkIUYyWie+eWHhI9MKwHN6LzIVk+p7l7D9YoOpXKjSSwJcmiPGvK
pxQyO7MwLunS2bkYmSzlaIIoaQHjxOWUYXcyjOg9U/4nwkbiOGOJAoSPmUeXuKSwS7nKN8WHQoKI
x0vlRGLfYq5qMVnVmK1mTFch5isGatFqwo5VjsmO5/wQzflTB+L1MFk3WUbeFB+XkTrc4YtpZ1vV
ZcTplSjLl+cMew0PWLd4B6o1bpdcx/zj89LoF02ZxmLcY0Nv3GfKTiaQuNdeo2RtfbyVpnNuP9xn
iKw40XplSrM//GnE945GCV2wUOa1uHborIWwAGeQb+fCVd+dV44CNiEB75tp3rlR6d8AK/egAIB2
WrQE7qrCPUUD1PChLz4PnOYth1YMdhhACxQDrKWhRFqwaVW3D6EWcbXh1l0N/nCV5iDnam3+Vja0
f/MtXmVzmQVmCpAKddjb2Hn+NFSRsRYKW+XGULL1uIVkw+21CJoiOjHjgWxV691zqrucgamy0Jik
jPZtCzCX+PCCej3mlgeTqqD4W44LvFpdO8HouBpkcmN42daa0o1rLI9FHd5FNUXyNeRh1ywDI/f6
Dffn5xAbpQrpbhod4uiQTVyV4YGbXfd5AFCoZ94L7svzMAKMAFtX9MO2w96ZmO0DafF57bnxGyvr
ozCbPYSTi7Cnd4hXx2LhZfJj8sSJWQWtZj7TP3R0k+IMLckMHLfAIkhQWZKy7tmiYfMQcm9CrBw2
LUDVHRhe6k6K5SAj52RPyV5vIFllgJL8cWVXIlsnLu2fTmre+mNx3yGmDRVUV3wFD5DvShSe7CiS
Eae9dvYtPeAohK2wPnShv9Oy+BC59TGSHb1oJhcP/aoBYAzObJt58kuYUledRbdTyEmBAfVmCbG5
UwJg1917gVqkYT3AIoIRrj/2fv7FMQXaoF8eKpHcNWiSjpEEvpUCoC2cfTyJ+zbT1B1G0wKsoasZ
s+VCiwEs1bWvij57v912KeaQ3ngmx0TJlj5tbQ14CPMmjhYYxkv64OY8e87NnnESUgMtJhs/I+oE
puygwXimFXkHM+lGDHjLs05/mEeGWal8qnRHwHSgQEYbkq9hUw3BlI49wxnzerTFdRiZr5PAvEBm
ZmNxr0uRzfCl+NsoCo9DtrzL2b7upM4zBpqG0MqHJapGm5syxNp4lvomnB3vUunVVWn1myr3HIpg
xS006lPekQTQInPbttBOQjumYKEl+RzPzos9ghTxWWkIiE+nafLgOozV02Qvt1JzXgwjDWljq5/R
bgecpf02awdU55Zn7YX63ldLTw19Yqj8eB81OQVKMjtLxkJZpKGIoRVJGq/WBmSIdd0U35ij0WU9
o6Za/L85gyE51PdRMskdhdOH0QULgSB9Whq1a9vW86TzRUsZCq2bCUhDPVvXepZcUxMQWKmFsy5e
2pMk+I8KZT4hTEVXYxPe+m3+AszF2quvu0MrL85idnMCZOaLF1OgIK1bfZySk29iFdHlIZLiwYg4
0VQ2COcR7VNUa1FkpzoSXDTBskV28Q0JGD+0aWwi03vIuuoq6dJjNjicM0c6qo3uedbrO39CEyml
e53q0XVB+wRkzvkI7/Gxzv0XazLvCFdXR9uEvdVTBLvFuPWyFP7Bb6lzpJm23JUDv1ir9W2FuZMi
AmvYoyBC/gEklAaRVQjzftJTg2tE02jWxstnywAebDraxtCTcEl/v/r+ZSSbi913FyhFFMRPj/8G
cCBYQQJ+/Pfv4pBGIsRkGGVySSW5rvLcUpboW/ffXSsxWAIeKr9vZf3Rz/bHg+C4IyTEEMdVt7jv
HiQLp8bU2jZBgD1oJUEXxAfroRt/n5795XPhJvq/n4vL7N4SWPuEp/6M7x4mFND4GgDMl9z4Nlaf
NPP/4Av84ve7OASEQfUrL9fPr1XrzxRdOkV+KUc+aHsvZKT15+37Fy/Tr34/aTteIV4ohc368e+P
3DJcUFCKi8e9w76x/1Ur+5evz0/x+9/f6+9en5/ea8vJwACylF6sYqcVQUaZh7u24O2/0zr6n5/K
Lx7K5dqt0oM2ozX/p7ci9yKxjEuVXUS6RzDvxEqiPls0SwWaXP3nx1J/9r8nbx+frh/eFvUR/+5t
F3pSMGXL84s0A6B2Nveubs2aOg/b//xAv3pS37//Pz2p0oUy33u/PxDtciXNmPGWfURtxfL/+Kz9
4nsJ44yQi8fuaAJ5/vFJmXZpVGy85aU1KSF4GyZ4tF/+89P51cftu4f4+eO2QHKuIuwBl9J7S8MX
S/t/fJzpc6AVCva1jvHnx6eQ1jmDCGZkl5QV0HQxC/4/Fi9PhyGgLECG6SiT0vfvPBWPnO8dvbos
7tvoXvewTkT3f6xdv3rT+RDjv7AgouoqwfT9Y/hxAaPSW4oL+BxAXl7NTPR2oF1UrkHP/+d35BeP
BX3VgFTgMklGf/rxsWKSIaaf2uUlVnfqTaJIYhv0z4oz1t3HQ/3jVLP4Vv656K7fYPK+w8bo5uu3
4v2//+u+yt9+BUFUP/Wn4Amh1+c66XAP/Jn+bvwGYRrFE6CEqRpQvneHK1C8ir7yJrGdfpe09X4T
JlMCpU+SdlMK6t9wGlCHwqfg3+vd7+5wldsVlLmwc3+4x79b7yyvSBtGB/PF66Lmxk0Z7xL1cp+p
pzKu5jHLXihqdLdeN4gzDNRwNSxDvGaSvzy6/tjdx6LKd8uCVgOEPNy4WtdsyoRaR9hJ17kyZw6m
Hp5s229uzanj5wdP4HTCMgvSG4Spxpx8MsibtV1MpZA0sy8J0YldWuL7pB+W1K1sp9cijqOrqlaS
mdala6MUBLAgCyNIzY++gbqRm29zWLhXPbaPbUcV27HMoMI1FYS1CR4fVllxyVB7mBXjkfIdqtni
hJplxyDm45sdJmFAhYyR0pSztD5at11ZrClIjpipypd4ikIuGQPxHHmVYrvmfF5mB2Pxx6BDoL6J
9Ijyk/kq6c1ma8ny1iaZscE5ru06J1qulqg3r+JYuJvczI80ULeHpLP8taAdlmrC0toMhhHuHR2a
PGNKKk4KSayvGm6XBjOdzAEvYYxeVpptc/XxiAdG/nVq4mEYZl4drdfiu2SU4IMSXb+0UCfXsztK
2HbtVW+krwD5JxhwsBiJLKQbHT97HNVLF4QDbxjTnWadK+N7iAM+pZZkVpb4CW988WGSV3Z5Fvn0
POGg1zKs9JBWKlzK2OtHfCYZfnvHdG8Ll2RKNk07A0e+kY6dj8yDTR/y8wUv+E2Ff19ErYtLIDlQ
br3DBWbje7M3oTL9O8r+n6sgQNsy93bL4tiSEbBVWKAlNTAAg4aoSXlJpiIFmLAvLhkDGn92A5mD
lOyBJIMQqzDComIJTkiJR5huF/IKxUJhiUOCwUfcxopOpoGpsyTjQBMDl3NSD4Dk+S/kIAqj+Wyq
YISPP25ywRuSmKDQi506lGi4Kk7Rffh+6wwosSom7r9YVFMGuokivaW4+kRhqORbUSTZSXdoG1j1
M9NFPHHm2tWb6RRxCT38sxj/Pn9ih/vrxfjSvJXR+y+mT/zUH4ux7v5m6SZGIpZbS//wBv9h+9JJ
3QANMWzD8didv6/iMH9jvuTY+Ls8j9mQ/d1ibP4Ged3hf/xam4SP8bcWY0Vk+GExJvJD6IfJGI2V
ZIi9n44HtaPPyUg1DOZNihXMJc/8QO/98KhNtTiWbotzQBNz/2ql8VUSzi9epC+BdNMvVIfr3Mpt
CpacGBF7U5sipVSvlpspTbC7AwGoHqOGWuNA90VLES+KAHzLBO42S0bzZuVh8t71Imy2RmnHnHzJ
EpRINiVC9Dbu6TnaQDMAkp031rCtmxQmJZXHPsN5lmLlNcHyL3EYpfak8LbNN82LppWd8UWzkxCF
1PC/hjg4sAVTeauZREbggaLJzBRkxQ28PSRFuVTkjgThnPFWN5dTPPiK4HKyqvygR/Fh4tqKUQi3
DEIaneHtQJcrdICTtJydkNpNOjDokKF37GScBtDnS9p4Wv1UtlUTwGvPNrNDH0UjaSVy6/4yde1F
yyawnWj7FGaQfiaFvIkj14E7QDWsxAs9N98ys7tPcnFPFqywucp35Y1WZ8vZtP6HvfPqbSNp8/1X
GZz7NjqHi7PAMoqSqCzb8k1DluTOOfenP7+iJFuB43m9FLA8wHCBBd6x3SSLVU894R8imtD5gqG0
/zUL2qlV2+iIuwnKdHgPapn/A95HOFVz+klqZtNGambOoCWXkml0i9ymfWUViE2W0CmwGHcOcvSH
CYn9xIXgPVOV1D9tPew3sQhrUIygCdVLgD46mncYPFbyUE40p+GCUKFgBdJaQZm9hfMNGiDXrytH
oXlJo64cYnsBTyuYxDnICGYWIKmt/MZwG/hYikQvaZKqXjWtBuaVL47i2fua/V0BwoGjcjPhFZFi
U8q9zkVD2e/kyKnCE1X284UWd+qtP7BO8KkpfP6Nf5v4J4z2/j7+XQTtA+3N+y0hUPzDnyFQ/yRK
DygSTzjVn8BXgiNJqgpzgfgDK5Ek9nn+jlo3wZIwB4lQFxHqF1lR+wRQFg4G2/5JrvsP0tGNutnL
bJR81iQAI3ZlmqqmvRXZ89WUHmKjqesyK8hWjqUYjdGYHpJcJWCRsFA7dRpVixjcuBB8acGNC2UY
AD0NNTB+pHPj0yZDLR+pBGllGKm2bsBpzjq1So8S10kuBy3tTptez4+FHsVd7dXdoZp00aWudJiJ
ZiFz47pHUkAN4MTptrtQwhJlXgsd72++TOSmP+tEM7TtJ7oTLyNVgfMdp8Z37FOVH5IWjBdqZWJw
5sAgQBgbY2zZxkkpN4sZigwqEKKQOa4PwD5JGvdKRRXlotlozMihESE4E2/UZ6CwYc5TPsrSKFbq
qbxhIzNpYbSyEbAZNmo2qNG252Wp2B1cwBLBGyRW0L4xzRzPJCMowmspFOo4RRuhlNOrZCF0pYWC
jiHEdKIGIQldCOxgp6DOrLEmNA6Hdp0XM6CD/kxuS8c4asUVgR0Tt0UiLg55c4dIhbhPhiDVNPzc
q3A1MFBzZqj8X4BEbq0DVVxLGfdTDcv/MDdRbV0bjPZXdmEH7cUYwoYbABKhcuCzMbt14sRDKj1G
n3/LUyGO//cRQQhCHTdB9dfp96DKt2mrvEyNnE/UKAYFIvHZAa34CpijES4Q3ncw/dzA3p8DAwAc
JPxtTDYpVDm1/KtnFrP+yXYQ2KdQRRQNQcY/YjG/TYwMqmOb/6eTu2HvstGLelGllirXHiRq75TW
Pbk/mt//pI9KU/RV8iU6f7Zm8yAECumY8KVe31GJkslOHg/9CbP1Veo3zoJedlgurKRf91pvdgg+
DtVyxJNkbko5zA6lto1LFQANbsW1Y66t0nIqNJjcYt2Uko1FWaOZxdo0JQRwdfRhPPA1CqoqFXyU
jCIlP4gQaJ/Tm6cIQo5qWTJvnHcIxi5LXy/mVdaFS83MuZhb8ywkCCA5SiBsMGpcBlA5mTGUWSgt
04T+6GVajv6PBHWphfbY3bcrWZpzokTX34n5X3Ml19F38TejgXozJsiLvjivez5FgBj4KCnGROr9
r1quHPm9T00MUhIV8miltcWS1uhxR4E9sWrppPHbz0akXRVOdVkys/XS9rNpJCks7wKHtEA/Lko8
P/TimNk4yZsXAaWAJO315lFHWLRl7BNaL8NeAXSrzCx4zIbD0pBv8jAENxBbQG6y4rQMzPAA7tBx
08vffTMajvwcqXrdhVhlx8qDH2fIOzsOaEW8teBqg2HWtYQ0qTeWqeaOR8WQH7WutOyTCO9g/ECT
2ChnUNzgMucw1oN10hna3NXA2njwAsaxXLllcOEbRUwjwgDjL0WrchT+3ZWySqu+nJd+cpmV9ZGv
CfA+8uJ3QxtVtCO8biqr5qLP2ar4B8119MFQnEoR9XVXfV6sOx10l4LENvM/QO+gVpG4D41LQx8y
SBc6oIo0NcDFOioG1Xo9hVe3LsxW2EqC4IgYhmex/KCbzT2pqL0sYzM50hzU+wCNGsF5ntoJIhx6
YDAbhvFvKdKhE4XKsrLlu0jyV6MpndSKdV37krAMMyf2AAg4wjRIU47HxD5v03ThhOosLN25mDYl
Jtx1RESWdlerM5hqeDenWLnK7RdlhLmcGx6AXucbN88alC+cgbI/NGL5bOShrYJ8CBSOUQfjnUu3
agXhX+pXmT4eay5MDutz737L7PGQUbK9MGCNlJZxXYwK0IL+O1ajk6a2gcwyZzPU4cxzQwWYZ2Ri
s+PcxJ56ozGV4kJWjh0di7ROPy38A4wS/Kk/NhpT+WKBhfiV3VfXetTCvwf4Yfjemd4KUlYwIO/V
AjXKohV3KXVFq3zOJf/KtpNrKRdu893C8vIfqtUfFo502PdYZVSheViEzjI24wbsLCS2TEH8ptHr
C70LD/l+R0Yof9MafKoHLYZPltERULE6OoF/Hx30UqLeZExmv1Z2BiG6Hwb3Oqnd6KJ3LTwX+liZ
69hdTEB24eEpCYgGniUQ88APFaqE5x3H4rjNjeCk0QWZJC5bF6Of3BQnDLNl+H0Ozrp24drfRzwa
sUM3P0uVas7byjxx0W2fuzEms3SgKjYz7hrt0MRHgw1cwlONi1qGYqQVXTHz2tyeKEp4xPD+Mskj
sDkd1JE2r7xF5OhfTRO8ltnOikYaZ1ZfpYc2aKG1myOU1I95MInM7LuOYClMysHnyCHLpBtXspdH
rOMAq3PwjsMEz6shcs8ZmH5vemca4uBnh2oxcSX5UjBGNS3/VjUR5Vl40Ib1D6vsTmFUhJjVosut
dfGNGjYLEpBv2SBNGrvC1VEphCxgiC9VldqTEPhM5RqzYQimwHLmYaHeJ2bdL3Nm22Ha3rSaC/il
Bs6GaXQF8SEv+ZmjDr0L64uSVp9hNnwxlAzofR9e9vFwnDrdQV0gFCV14RcPYH7QcUT7ft26ydJL
UNiXY/OirsdTozJvet84yUJ9aust9tD0iTqGwxZY01Z3CBYysy0d3Sgz+gbtBL3k0FzCXTXgsoJz
qe1g5VVwsnwN4eHQMC8p9FjBGNqil1pXAM8Pa81E+iGQb7gJjuAO0S4I0jNgSPVBFnrQVTD00uTy
wEi0OeFmJjU9gDG+feJbxyAVD8rIO1Rq48bJWxLJbJrb0alm2Aeo7UwqitpJoka3ki3NjC44aIDQ
TXA3uZXr6JC1ngVjn04c1TnUm+G8ymU+pl4dhrJ0UBrmNxfIXgvgX6/bSxfgI2XAuKh6hxYiDruy
3v9wZYpaTOa/yXhVT1T4bY4RLwu3uErSepxFaXaAFU6Bd3UigFDaLFRVwGvBN9PNjuRSQ+FXzWr4
MrIyyXS9O5NVfOltUIjzyC6/prIP/Fy2T2UHGYEuLQqhcIAUgN8nC0zs7oIYDhxNTelrl5vsF2QZ
54NM01vTg/gesx5rpmqJD89mUNcdlOMfL/Kz/6RMdiivEGkhC9FQkn1b/mC+pSQJfIiTMAQF9Tly
vuvGn1bib95CZFovMqmBXWxGDW8hFzRirNMmP0Vs+vdfg0rxRRtrM0Pla5iyQW6Ii5OQ8Hv5Hqra
wGxzAu9UxrPFtk7HGtTIFU47v3+b16OLx7dhNI+xBy16oVX6+m28LAR1HbXeaQOgsAiRagQ5JRXX
jX4mkLNmBXjMeJyk/ltK6L9tLjz5Uca3W82OX7QXhPqCbCu0egyM2Ll3X5QRKn9EW5MOqo5M0ksx
JNqyNkMwaB76s2bDcxmBISWiDHgjU3cA+PjDMkIRjaaXDQaDMoX+BkKQBkReJrCv94yleEocl0aG
DQItRJpsKkEY54C+h/6k9p6y6nALjNHlS5OUipu08yZBs48MAc+XmsQrO7FQGg0N6XSU3LmsI+MQ
w+A+xpgkOw2D8vMg619tJ4c+WJFa2FI9b1ENfMTN1SMoYyEmmIXWee9pQKPKMcRJCiwWUCJbENUV
GOuo6LTIjOnt0seOahoZUGZSuQbhC9d9FKR3xQMVBTFhdDOSC0GMbwRFHnNcQPagoYYBdI/pVMbM
F5T6tpWvW8GxD4d5p0K6rx0dn+ENER9GPmh5f5oLkn4h6PpNGyNHs6Hwp+GdEzj2fBD0/gYjTibv
ZJAwl1axEAFAZn2epQxx8OeNjwxD6o7B9aPGiErCVC/D66BIuIViWHilF55mUg3Zaggm3Yimmtlc
UXVAF42Ka1Hd5QXahpoGLrsPigXsoQZVy7SZpVKckzPIOM3gTDaJimad5xAPoyGLF2MrLfPSOATk
8DkJ2wsnpJLg0jfQn1QOLA35niEK7ltFW3vpeDKq2BuB1YJ8GZZf4xodxSYTajX5cePbKBnJtLg9
xMKlsa+nmRCcqDJuo7wOtVmsmisAuueRi/WN1uHjpI7evNATe9FJ2V2hAt9T5epEhY+sF9IykxNU
goJTJW6ONI0bP9Gro6Jlz7hNdVYEJr5ngACnMrnXXOcmrEhgq7BZFoW2tgw/WiDOK03xtMygr6Yz
SILLMpTOoj6r1iOyGBOjJHtsbPOCW2VN/SrgzG0/1RMswlRAyjSgRzq+el0xMpTBTUD3rrwKaVzg
Jm2Yrj3d/TYUGCrFko1HnWbOjFr+rBfFt1DDK0kBzTMUtYkHtnfukWMrfTIbvf6kqJz7EgcJypqK
NazMlVcEymQ0jeO6qU6DrCok3OyteHwY+hj7pySBj5Z/jlyvwF4KcSHEhNZpI4aptXOTRfIFPA4s
LodpCTIuH70FdpmzvOqQT8FjW1aPstg/CbLssA+rEzyBztqUtBglrWYZu023Ml3jB6VNg2dUp+nL
oHGtFsplO16q5rgGW1stlRjPOS8wkB7RTN5XX+YxAqZoHM1xNTroRu2sNG4qiYQuaZzr1IGAEWJT
o5YAlWtj1fkaNMzxrBnVAxeGJhdMc06wm5QdWHlkhMi3aLC7hXumwVZgpEQhTO0CH/8Ctv/UHbzL
MWc8YpZUJn6PxZhaoiukJ1a6dDwFBi6+VgstMpc06r2DgoSEnMa3cV2KKcwbdg5kHUQlFPxxErTU
7V76aunpj6yU7xNbBfCYxZ/H1Ds2FGjtfQHjxNBgJcjChZQx9ncb/edjhphrQI+ECVk+SzLY5I1w
Me2wM9XQK8OUtHtohNNpYvYX2HLnKw0TVBLfRaHLX4fAWtuYpDrCLRV7QTTLdBxUUfj8kgpP1Qhz
1dweli1mq3JenjmYr8rInI7CjdXAljW0IHoHZnSQCcdWC+tWu3FnvDM8WUe/UtD+WfqMVGdjoeQo
nuL9WkjquucYnFnYwhrYw/bCJzYVjrEWkEdVuCEGwk3WwFaW70q+HEE+cuBE+cJ7thYutOC65sha
//CcuwChm6rWLiLWhHsAyL7wsa0xtE1qFWctHG5d4XWbC9fbVvjfdm24xJEcjLrwxh0wyQ14nC1c
cw1hFoWNro9qJWrTOOvqwmOXHxS3XbW/6FNUMZMczXHhyAud4gD0J+U2memqh+njSohLa0c+jTTI
/tY3NFqZjMPW9nrdoJmBYZpfXKr4AJvCENjzzQb5EwomB7fgSEXrTKowbTQsdLyLYu1VkAJUNcfV
qj+mdR5OJa1YNpA7jSg/oXaLVzn+xF7dX8hDNoejNpD+WkcZTsYognVX/jg0iw6X48gBxIvkyTn1
Qcg0nT7tJof7N5/Sf9+arW8xdI9vm+r9wFr8y+dpDYrXTF0EylI16W+KdOV5YE2mpfNHDHIQwRJu
F7/GNUCEEOJXmSOjbWFu/ug5nbLQ/WeYLcoME9knhE/+YFyjaa9TcNBDpFPkdMx/ENcGx/qmZ0oh
qEUlklSnDdIS4xqlOyM8UXQ5VOd1ncRnVlC0SO7FxomBvhD3650uBIdKlIdahRwDrerjQi1v4iE7
jKv0IkCrqBaiRVrorpnTr/MeVZEUXSNPA4ZfonTky92XMUwfnACbzaxVq25Kf+EcEt5CSXR40yMo
GToCM1VnWhrX4bpGValH0mVWam2qfFdpyaAy7MWLzmttZSVbWhkc0k+qkYtTJHpbcuuYxPtcC+kx
SSixTMw2X1mBlSwLyzk0IXboV5pbE2TcpAsZ5zqerx+XYVDdhJ2LCEirJSrKWUhbTesmPLKq1EQR
3DEq2OqlIcGLtEtsqlOrpXIpIWcxqjFpAQAQ/96YCXp8cfrFyg20dv1uabdQ9vLAvM3dzJ1ZXdGf
h3bcIaGQrcFKFVOVXsUEyUN8R1wZtWBtnrmoYMvuZ6kcV7UlXbSQ4dO2W2EPPWsl6rHOOHUY3kzs
3JyWsYraSHCbS9lR3MBwyepm3VhpOrGwZsQME8qbo1y0jbRivDtP3eLEFg0xrUQYvzsAfH6I3soB
fe9jz0lPErU/aTL4kEN14fjxAbyia/QxaEBhPqd4pyYi15Mizi/jfITXFMziXF52RnVR1nD7+24V
mvqXRDR/HfvWsavDGB7E1E5A1IfOjxSdZT02TzS4EchdLPV8xLW0grNSnTlRfVNWNKEgquSSggK3
fzJmQKBJGrE/P8EK9qDq1S9jl61bSAQ6Asv8luhDoH/h+yehi1K35hwBnF40dX0YGuEyN+VvqhEu
7KBe51r93csw1BM/vWehr1Myck+UpW32x0pb1Qz35ZNG9UmZwpMS8h3S0NN6lK4NX1vFofiFG1i4
UbKqUMK0sS103OIB/3G0AOIvCOxcZ7KP1LG0cHPjmKnMQm0SlE5auI2Dctzp9EP5EPi+KnRDlGO3
HQ8Bf05Lvz72LAWafn/U9f4qqxAhpqv7UFrqRev0F+UQORPXa41zy2B0YHb+ienq68FQwaLGQEWS
KC78SaBmGrrkLetl9MWpTDLXKWypxtFXscjzoOkClyL1G0gBMXOc6Yl2bJEa9iJH7KEfQaa1Zhrp
I8JYbD/yyTx3l0hLDgtJc7+hc7LuRO5pJ81VRDKqSaB5I5GfqiJTVTY5q8heJR+JjLyV0rnqK2tX
1y90ketCH0QVRuS/beichSTElY5kvsiQcz+SuAnhUhS9sq5Jo0k2pwZptdwhTcru4NdSQfs5Ivl2
fXIp0nH020qgsdVRTKIOsepYI3FXSOATszjJRUbfFckdcxN+jFGaIS2JRLjI/wMKASO2V5moDBjD
YIMsqgVX1A0SxKxMVBKqb5CPUlwkAZ3iiHIjUbOvtag/kDttp1IynjSUJj0liilqFckmtczp//eB
T55HQWNS2DBeOpQM78CWmnjBiDRHmqdbU4MPk1bURTT/86kjaiVVVE0o1RSLsBmOM1FRmVpwGlFi
tWZjTn2/v/JMJGt9ECIp5VhLiw85X2Xqi0oNrjpyv9RujqjidFHPjaKyo3sc/Xv3KxughkHX4e/H
slcP/m1y+/7eF//q572PPhloMnBo4vrfzCJ/3vtCnwwssTA+VDf432eYBiJk5AncxdzHXPGGgH08
3/sOg1rh5wOwTICGGRz/wb1vKKK19qqNgt2ioYj3coCKkoW8bqOkMXwTeI32aev4UTULNawnDPkg
TFPpsIm9uVLroLSEoInbNqu+G5RJhg/NXGmdw9rAgBQ+rbLwwuHKljJS0zBBjkMJ4gmMmHnY5Hee
2isUk3XTk/OaWSPNNKn5XBGsL4YEt0ezNN1jfCwpx3trZhYq6gtWW67x5mhQHlZ97AOU77Vb/ZCR
YTxAsPkEyp/gw2dVNEeh5mJQ+nNUUczzAgcNCv7OnslxihK+bSbCKZ3ku0EybXByhyoomdt9hPdF
Ix0oeELPQ/weoPYH90qq9s2sauk51BzWAxMdSlEi4kKg4c0dualy6qpoT/dNyn9Dyf/AUmJlAiv5
fAxiDGctmtUIqIHGoicsAB8ATrVuHVsQLTMfE1b1oC4J50BNb+tYw27bc3Ou6NZAZQXzXCgqJEBH
rSQj7G1q2AckxbAcxfEumxIVJeRfSvAyc9mWrvOxQrmhJFTK9sooxjOousNMM50vFPt3WZmdFMyO
JqXiHzKQP8Pv6MprgYd1XTlrI+dHmesruXHWZDIVuDvJnCqpblFFZ1/DLj400+CmD2vGoI70o/ds
5HhrhKHj9puBzVeeWsVK0SlXwhQ+NzlRNmlj0ivN9/zjAOgjrZ0qwJcoO7OH8DP9igQkDyKS4Gv6
OUhxgnKGPNhYVSh4Vjdcu2hsq9k88gJo9V5AEysuPmeaAyZPpmDubdNDkqG/giHHQFlFnCpo5XqO
4VI7NWO4m57enOVCzUoWula4/6KEWX8FY3yfeKm+cDXlPhdaWMzC68PUVUkI0cli3tIuTKGdNRZQ
yyO267KBLMYUW4hsBUJvK9e1lSQUuDww9lPNzjgIyHMNyHTpUfVdE7pdjttZcyWsUIA1qx9ghbGM
l4dkytnPp7nQ/gogRZs+OhIWknpoL3FGcN2OIVOiGuYqxZQUF5IxmiQemhcz3+5PNaTGVCTHfKTH
zMheSUiRNeqK/ovbrR2eWen1ZV6gWmYiXxYl5hfLSU7RlYvpioTDzEXqLMIgQxbSZ2n91RJaaFkP
Pj4Lc2deWU45zXCNmtRhusiifE3Df1lJyTUyAKuo8I7rJE8OFGTXAsa1KjJsegMh3BLKbGWPe3is
krXI8Y2PipthIiNnyp21CgvrWHWSkwDFt1hIv9E/VWnARSOQcPoFno9EHDpxwapBNU5FPY6S+iZW
ejIdrveJicKcbhlfGryd1QTpOQRPnFkv5OigdxszXE+BmQqxOqmpl7AjGVWZYz+VoDx0pvtlFBJ3
RY7UIj4khB7+HfpB+BVjPp6jjueO5UMh5PLUMRZ9UhUJF6T0YMhGE4dlnbbo7Kno7dWdBu5TSPCh
d63Pohbllgh9PgOJAx29vsD3LUZ6NF1iyPIymn6jqV25KOtNSyH3V9SxNGFefwEg5gYpA6G0lp6r
QiRQQS3QdBrI+Ex8i9R252oF+osOmIvCYOtXa3kjOZjbh4EQIXSt5DyGR9tbgXToo1MYCMFCue4P
TRQMIcwPE1rgxhR6VTw1U8CxsZA8HGV/zdgbq3Mw7DN0F354o3uFkRpJi0KLQxPiib0f3pe5cepl
ClNOIbDIrEadpiaiix3E3oMaHUZLKEWNxXg+0NadS0KsMXK8y14L5o3K7B81R8dJWugS5SEIbAQo
FN+bFkL8UetMvOHNzFi4yfA1QSGy9uTbAr1eCAOIR9qoSJpNcq2iKjliNwN4FbBFqy9KEARtZh8F
6FCGlVsfQB2Mpt1ITQfZczlYyt2IeqXhEbN7aiUTXctCKR8QI1zX6F2O6OJZQgCzGpopMO2bDPAG
8IgIBQWG5pF8YKGdKXs1hvFsAtAARO58YgVIkxlCcLMfrKscBc5RNx6imkAZaGY2b2OBmBiQCGau
SX4JRrpyTkvo0UsVbc+YfQuchQrWEppUrYoUMJyZ0mhb5nQjKJnBu+XuLOdZ4DcTyadzA1zLPLVt
GrcS/YBlWZVfg0i5NNIGReXRuUaV4CaMkBIsiQuTCuFOpGRyhQiioMppf9dcu1+WTrng830vQ1A7
qZ3dVy4ltBOirpP6GkVTFBp4QxRn3HlgV/izLvePaqjSE6yEpxpV49xJmntX8DZkq7hHmvk0DB3s
piSXxlvrrhG4aFAwHvyFk1EIIvKrT9ywAWtRE8Fc2zjxQV5QKAQIdAbZImu8g8GAk2IRJyWXclhK
L4ds9AE9hd8iK78D6I6kXpIsXRf8QDjwG7jtpWLkCs1yvMAxql/ltc9VnDLngFptMToZMcCRlOqU
wcrMG5IfkRxl1JXdaW+5MUZv3rGsBQmGePkPW0qRtdOdmw5z+rlUJLThUvM28pnG58yHZcbe5yW6
KETzynHXeusv/YB0eRrT5VgxEHeKkyxGrNuclIEMyj2kFTKij+EU/vH/Lz20pzafIMbNN7y48+ah
HC4eqiauq+cEU/zpWRak9VX2P/tLv3/QEyPvashh5N3eY/OMF1pdBnc1SekjW291/3//z2NmLhgX
rzLzzQfbfOrfPie+hfXX3PMOmv4Jjze4GRp4SPFiuB1nqff0x5ICjBobGESF6ZXxVi+W6O8W4fff
73E1f/93/v6zv1wCOHaPn+mR4/3zd/mHr8/3+/Xt+XIUJWikgREXL0qM19/e+YTEJAoAjFY3r31Y
hC0bQaDbd9sIuvLJAn1gqUBmNy9qpFdLoerMu9Gr2zCJ//d3wrtFEAz+XRcBSwXavjY1oBD04/Vu
ERj606NmEfZ0Iyhv+/R/HhFQJzRB7KiWsf1M0MSHVQ7CQbTv93Aj8LHh6+x2GjRmDuIgQGR+3Ags
6+vToIrJg23QzNjTRXgnb/k/2QnMauivYJu8eb29G5jZMI6hqbO3x0He/YJ0CHsOkCzo65sXJ//t
TpC5QZlBPe66/+Ub8l1cFB/7A44DxrIGayCiLK+3x0GhIcfLgDS6r8dh98Co0XRkLijMeLYvArcH
3gcgBUkj9jMwPl5bf5YwiQ3/K2NyPtEoRU/273YCMUHwjRVUTfZ0EZTdY4L5CRsL8gCdFHTzehMT
OA7MuIWyCwnEfu6Ex19nl51g09MXKiA26/k6IsoEA1R5OAqbiLmvG8H4iDSB+1GnPuJRr9eAdJoq
HKGUff32otLbOUlCxlpVOAp/czXKn2CfcXkKBZm9PAb67gGRdNnSwYDAJd683l6NmKZyRiAOCp2v
vVwEgTTfeSdgFmvCmH5cA1GJvT4OhARHXJ6Gud8hYfe7gTIZFJGGJsf2/cDdQGjETk6gi/ZzP+ye
KuE/qCmmYShPbZO3+0HkixBgDVvZ16TZ2PmCZH5tkSagjvYUGbY0E8TNAadkb++I3Tsq5IsYWyqw
gN6GBCpoSEEWnYY9PQeC6LNjXITugQYPCfPfJIoC9Sgj0of6554ugqCc7LYI4hwgtaHr77cAzWdI
MDjpPPUc93QNnnboLskyFYMmoxXzlBJvazSrjsCdCiXIvbwVlJ0DoqaSBOAryIzxMV98209SjE8Q
rbg1KCvEa1/DovIRWSNwJyIjxcPj6010FPpdqA+jHbOvWYK+c2Bg9oQABoAwxi/bF4EyGhULxMie
btB9PRq7XxTGJxRNRVflcedviw+iIQ1jcF87CtruVYT1ySFbQsyJOCleb+MDt6WKkhxH5rEXu7fx
YffGgvOJWRu6qDRRNi/RhHs5lqWqRFBVwVR1bxOH3XNH9oMl1IWR79q8tpTWoEJFANnXIKk8/jo7
ZA4CBUvbXegYPb7eHQqaLPyxIM/saXh8Sml2WATmshjPOzpH/3EROPmvj4MgFqmKguDRni7CUyd4
l0VAts5QkVB+7jq/PQ7kDPDRacoSN8RrX8Ojtnv6ZH8ygIQzgJUfI8O70pq6yhH/x526z0uh7p5E
bcQGaDPgof38VV8dDVotjgm6XuUy2bz29ICI6nC3QpOhvQoJUGfs8rgU70Il6A0iJTS/fW05PA3N
dokSDsK//M4WMutb94OqMdC2kGgX4Ja9rDTV3Zuw7ARm0RjbP275dzge0YSlKS+8Nvd1EXYPktYn
Tca/5ucqvL0vAPLgMO1wXex3kHwCVuxwKAS4TcM1Btbx04Z4mz+on0zwDQbApn3dD48fbLdFIH1y
GEs/VdME3Fc3BfuB4ovBvrK3i7B7jcnBxxeC+cwTnOfdHaGA/ALLo+/tuE7w4Ha8KJGAt2WErJ6a
De+7DYQOhrrAF/Y2PO5eXdpC0VXMJJ9qim07Ad4qllY/Y8ZeXpfG7omTyBkwIeIueMwZ3nUbAPXQ
aRCiVnsaHoVB046HgjwZTQpm2E/dyHc1hYxxgk381PZ1Zvn0wXa4I0SLHkKkQZv+zeUADwABP3tj
GLE5D/u6EXYPDJuKyrL4nR8P/ruNQBmhohDiPInM7R/iU9s9JFgM7WQZm4PnFPrNfqABSZtWOPHt
6xWhP8aqHU4DvTcArex67e/iokrbCf4MieW+HofHzugOi6AZFM2qSU7EfhCvLb03CPzomAsfvr28
Id+JF/05FB4zCR3lHANVx81ryw0pCzVIjEH2dRF2TxvJCukuMpJ4iglv7wjmM2KETfK8rzfkE8xi
l+MgWgskjYIWsXm9Ow7g/XTHNvAj2dedsHt/BVSPiUcC2N/HRXiXO8uf+ENmu6yDeD3uvf27KPXd
C0obA5qN+NjTHfFuKTYplalDmNrT/fBO3+WPwyMXJZgNFJKRwX18vc8WQAELj+PHLvXe7ofds0dq
KSxpQUU/LcWWIGmKCPJHDYb/4OT8JChPfcS7N9Rk9Cy2MZj/7i88k3Lf//kL4vGGdfvqbwqq8uOb
P9KTxf/+r9fM5Q1t+MWfPtOIN+/09O+fvuL7N3/1Zs/f6/k/HgQP5W15h9XrhrD99EEf/Uz/O8bW
9P72JWdY0KZFd/z5v22nWf8sJH//dOj7D88P+sXJFmyrX1/1PYf7P3t4cnuflc8PevFwDs7OD8df
ot72wclpdn729Ba/ZX6S6vlZLz47kXH352dxU737SblkCK4f8PC0Lm//wmWv3vYWJDU7v8XsIf7r
BB+VbetPvrDz8+fxX7OsZPM8P+vF+nPX7fz8RYlGzraHE+Z2fvgyfkjT5+e8+OAfcVwPmuR7Ft/X
7x8vEK47f/RVkj+UwW38/Khfn17gJnd/fDpsWXSBQ9z50UcP5ZY1FyOA3R8dpN6WQCAIeDs/+/g2
2nKGBJ3gAx5dVQ/b1uQjDuhxVv313zi7xg/bVuYjjuj69p4A/LwOLzbiRxzR9W0ZbFuajzii4tl5
ti26C5jEzj/r+iG9z+6CbdFLjN0/4Pnl3cP984N+rTsuuh/w8IzP/vycF8/+iGO6zrauyUecUh5d
P5QPw5ZP/hEn9eQ237LRRTNu51/z5KG9fZ87YmH/EUf0t+bOm0R2h8T0LL69e9iSO4r23M7LchY3
ybbkTsxfdn74P3m+7royl7d3JSVBWm+5SwUobecvICwqJw/CafX5Yb+OqmATfdAblOlteb81kAlB
qA95k1nw4G37Eh9xasUqLbA3vwuqu23v8RHHV7zHYXZbNNtuKwFV/5BV+mc70t23bPrX+rZ+2LZO
H3GeH52QJrfl9+1eSB9xrB/fY/obt6UPWKWauq1sxucf9te5ExTv3X9s/3ZrTShmTLs/nB7GtoRN
mNZ+wMOrKBiy5vlRLxbmQ85yFt9uyx5E83v3z05isk1aWnRtd3/4P3lW7LwpRZtlyz2sf8S5/a3q
9q6fHJcq7rAtSZsgRe+88FcNkeDh+UG/9qNgWX7Aw2kQJdv6coKFsPPjP/OEZttZNT7irN5gt/b8
IV+sy0ec05vm+5ZMWUCH/mFNtrVlf8pAvm/WPss7bvtnr3vR4m/cxQ+35X/9PwAAAP//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ED5C6C6C-4ED2-42D6-B436-69CDB62B1602}">
          <cx:dataId val="0"/>
          <cx:layoutPr>
            <cx:geography cultureLanguage="en-US" cultureRegion="IN" attribution="Powered by Bing">
              <cx:geoCache provider="{E9337A44-BEBE-4D9F-B70C-5C5E7DAFC167}">
                <cx:binary>7H1pc9s41u5fSeXzpRsbAXJqeqoGpCTvduzY6fQXlmIr3AkuALdf/x7ZTiai5B65ql23Xt2r7q4u
izrgIR/g7Dj450P/j4dstaw/9HlWNP946H//GGld/uO335qHaJUvm6M8fqhVo77roweV/6a+f48f
Vr891ssuLsLfCMLst4doWetV//Ff/4TRwpU6Vw9LHavik1nVw82qMZlu/uLazksflo95XPhxo+v4
QePfP3rLLP6u6iJefty8Rn7/eLaqiw+eMoUePn5YFTrWw+ehXP3+cWMQ8vHDb9N7bfH1IQPWtXkE
YmofUUEZshlHTx/88UOmivDlsoWxe4Sw42JKxI/bXi5zoNyXnydulo+P9app4KGe/j+h3ngCeAv/
/i9P/7B+C+u3HgIAv3+8K2K9evxwq5d61Xz8EDfq6TXVg6fWj3h3+/ROftvE7V//nHwBb2nyzS/Q
Tl/pf7u0id5/QdZTmWmW74Cte0SQSyjH9jO2MDk2sCXkCCGHcpfZm9juz9FudCf0e+A7oTgwhP1V
9uFSgfz4+0Fm+EjYTAgCi/TpA8t0E2QGs4BRwQnA/yw3nhfwm5jajfP2EHtAvU10YGjfxO2qbuLH
d0Cb0iPXQTalL9IabYlrAfJcIIKFu4n2m5jajfb2EHugvU10YGj/OwN1+Pge4lscOYg5xOH0lZVN
joggDFb2JtRv4Gg30NMB9oB5SnJwIJdx8R7r2TniLrVBQ7NnjJ2J9AbzS8DHtgWbgrwvR69hvEG/
F8QbFAeG8G20bPQ7rGKGjgA7Th0qXjXCqIOR4xC+ifD+HO1GeEK/B8ITigND+N/58lHVf78FRp0j
CkIYEQeW6KbphWDxEuJS5P7wrX41wPZnaDfAE/o9AJ5QHBjAn+sYPMHh70cY1rAA/9cWNn9VE7vg
Q2NwtTbX8BtY2o3xdIA9QJ6SHBjKt8viw6laViZ+j3CIOHIBZkYYeZbWdLqk8RFxCQNt/exTT/B+
I3O7Md81yB647yI7MOyl0e/hQ1P3yMbkKQq22woj+MiGCBnGZIL33gztRnqTfA+MNwkODN1blS0L
9feLb1DQxMbMEYI+L+qp07yOgzHXsRGbmmB7c7Qb38kT7QHwhOLAEL5Ygop+B4BBagsGchu9eMpT
LwoAtil2uHDhyq8m2N4M7cZ3k3wPeDcJDgxdyF4sIfK1bN4BYecIu5xgArGtp89WKBsdcWcd7J4u
4TcxtRvl7SH2QHqb6MDQPjb5N5U96r8f7LW57XDM2Noj3nSo2BHmmCIIij0r6s3V/BaWdkO9NcIe
SG/RHBjQnoJk2zoy8i7xEVDO6/yiS6l4xfYiR5gyxxZ4IrvfytduxHeOsgfqO+kODPlZ9sFXNURN
/v41DrAL4nKbvGhsF9IVm0sdhIDrgtVmP6c6Job3m1jbjfz2EHvAvk10YJhDFr2Im2xp3kOLiyPO
kIB494shvqXFMSSkCQNZMFnrb+NqN947xtgD8B1UB4b4HCoz3sXt4hA1w9y2oYbkh7beWOLr3IZj
wz94Un6wP0e7kZ7Q74HyhOLAEF5kq+I93C4ImxCIerrbdhrobNfBsNInqcm9OdkN7Cb5HrhuEhwY
rCd5uarjZfYO2pmA8iWOzSjeHQbF9pENK9vGkPdYfyba+S2c7UZ6a4Q9wN6iOTC8z5dNs3qHdQz+
FoMEtOO+xLzRVtAbnGu4zCCAsulw7c/RbpQn9HtgPKE4MIRPiuE9bG0OhSQERLV4KTKY2tp4HV1x
OXecidm1Lz+70d2g3gPbjd8fGLJnUEj8HhY1P4LEJBQBMftVG4vDNUhcTJbu3gztxnaTfA9wNwkO
DN3zZfoexUFQeg0aWCAoIHj6bLlL5MjFNuaOmOQt9uVnN7Yb1HtAu/H7Q0NWNR/+XYSrbPUeq5cd
IZsQ6vxYvSB+Nz0kyFyBN8wETIL1Z2Jmnb+NuVfQ3jHIPqDvIDsw7D8bKMzP36XsDxJWDnEZ1BE8
4bpVxkvQEXUIxg4BW+zXhNVbeNqN99YIe4C9RXNgSF8uy3co/VvnnV3QzaB8n1HesquhgBfMamQ7
Ezd5X352I7xBvQe6G78/MGQvlo+QkXwHD5kfQT4S4huQdH76bNUUoCPEIW/B8KQQf3+OdqM7od8D
3wnFwSFcx6V6l/1T4gjwA4SdF8d4ijEEMF3OhEPARHv6bMrqdbJ/X85ew3oywl5oT2gODO97UIfm
XZY0bJRyYDscei0TCXBDLS9GHE3c5DewtBvn6QB7wDwlOTCU18WMfrwK3yMcAsFNDMVCEOCcmtsC
ygugGN+hL9705np+E0+7gd4eYg+ot4kODOyLVfGoHuJ3SUK5R3gd9RLixQabynBCYXuk4JS6kwDJ
m5jajfb2EHugvU10YGhfrtrlu+yXA/HMiQAB/mKSbZnbkF3GsNeZuZNwyf4c7cZ5Qr8HyBOKA0P4
YlU/wIZ8729vVgCbWxF3ucNfyr+mAhzcZuZgF8Il7IdR/qvzvD9fu3Ge0O+B84TiwHBeK6Z5vSwe
4uZB/dCVf0dTCgGFAQgJyEfsjmpDPS9s0MC2QyfO1QZH+0zA3UDvHmYPvHcTHhjsFwq09T4v922t
SKCTAYTDXEhWvOyy2qr+hK2UjID4xpOg2N4M7UZ7k3wPlDcJDgxdmMLrfbC1Gf9+iClETQTDDP2A
eEuAw04M4sDan6rot3G1G+cdY+wB9g6qA0P8Qr2L5b3edWNDIfcPGT5tTLJ2pwFrF4InP3THc2OS
ffnZjfIG9R74bvz+fwGyf83ixgOv+w79+8e73aGX39orSgCijHMXv5K1AEQ5FkRgCHruiIfBloif
3a2ezbJdPO1G9VfajWd8fsS/fin/6zpCwZzUq3r1DluZQQJzwdc74V420uxwkrjNoWHBtKvIW3ja
jeHWCDuA3PgKup5t0RwY0ldgPofvUTtAoYIPqucd/lpjEeguY0NjAj5NKu/P0W6UJ/QbgO7u7Tah
ODCEr7Plw+p92k6A7lxj/CKNd6xkqPiCeDX56UT96gzvz9dunCf0e+A8oTgwnF/sxGz5LrkJiHxA
GQgUAr0W+cBH4C1jCG5NaunfyNZurHcNsgfgu8gODPVrqBB5lw2vkFqkXMD+qBdTamo9Q6gLCnLB
W6YTwPfnaDfWE/o9YJ5QHBjCX82396gfWOclMBTQg/vz9Nmq7YOWE1DX54Al9sOCf/aO9uVnN7ob
1Htgu/H7A0P2dvlQQ+++Qr9HktGBtl/Q2o3BpvSnz9b6XUe71v9A25H1B/JSv2rnt/G2G+sdY+yB
+A6qA8P98ypa5su/P7oF+yhgPwyHks5XNrxB2BoaFGBoJPNcUDLBfH++duM9od8D6wnFgeF8C3Gt
98AZ6voYdTmU9r3mQz9VGHAG1UOTVb03R7sRnjzRHghPKA4NYUhAyRU0fXsPCQ67ZmzoGwRFfj/9
p43ibGgKxRBB0Khikk4Gs/cNXL2C9PYY+6C9TXVoiMdNGg/KvIP0hkbaFFKK5Ee73ekuKZDeHLau
21DWOVnVb+DpFbSnI+yD9ZTm0JB+mst1sawf36cyCHrJQLUfFHu97K6Zxk8whLuhOBtiLBO438zY
K6DvHmcf6HdTHuAEODdx8+HqW9yU7yHhbSj4JBxKgiDh+GKDb0p42PcK+5uh7d+OKfBG1l6fA7sG
2nMS7CI9wFlwAQd7vAf+T/XdAqJqLxp+y0cDe51AUM1lE0t9reH3Zup15DeH2BPzTaLDQxuKD+Sy
/vY+YVS2rhta9wF8xUNbZzBdB3w0OBTl6bMl+t/G3qvY7xhmP/x3EB7aHIhX9bvE0KFdCUewrc55
jrjsanMAF2F6QCfQF3WwEZLZm69XUN+k3wfuTYpDw3ndzPc9EmMQWqWEQLPIl0W+VWSEj/i6IexW
HfDt3hy9gvAm/T4Ib1IcGMKfDWTD3iO5DV0PKFoH0V4vRCHuOh9mT1y1/TnajfCEfg+EJxQHhvBX
lb2HYQanoghoVgI7Yyc7dCDmAhcEhi6gm5p5X0Z2w7pBvQeoG7//vwHp6yfV/Tzsz1/q5ezpmMBf
Dqv766tPLwfONpyQviQmdhRr/dy2fPL4+0fYYEPXHZh/qSpbDzRJa7wYzj/Q2yRcwRksv3+0MIRa
ENjdnHMBvhnjMGa3+nkJ4uuY2GC2Q8vntRIv4GS1CI4yhKpx6AwLFYfrlpHQVw6oGmVeLmEkQGDA
EQ1QXgzlpz/PcbxW2RCq4ueLefn7Q2HyaxUXuvn9IwRxy+dfrbm1ERQ1wt4xBzrqwEFbAurQ4frD
8mbd4QXewv9pTGeqnA/dFVLXdchmQyL8X17KjjsAp7/cYW1+QO4XIk2QzYcumdCaafMOvBMpNcKY
q4Ylp7G4t9CVa39q2DEOrrv2ssGzv74fZCH+yx3XHP3yTKR36njEmblKSmNJZwi1K4dGkVyqUDWf
ulo5p622y0ue2oFs+JwnQzWrgj6wZzrXYpaEBf+zh7MTTjiNWjlUJfNxo6ikTnRuq+y+cEjqlTV6
bK30u9tbfxQjIIAJk0KxRCYhnOdYDJktKYmcWZ1ZuczDODxmKV80QxbPodiUzsMyVotg6Asv7uNE
itpQWYyolgGJb63O8UoT3zhte+baVEkRt+dWFQBKSSzzwCll1WmfDVQOvPsUBFknA4seK4Wv24hK
OIrrpEAmlmkSnikXS0Otu9rCoWyLP9uRXvciOm7F2MywbhaxZgtWOqdRbPcy4qqbW2XdLIJouFBG
jLdCI7eWtT00xa2qIn7Mq9JLcFEdVzyy9KexZPCFyeteXWUhO9cIi8siH+1j1ujRzw2tvqXIOee8
u7BYfl6K+KRPu4vaDS4tlF4OI/+CM5fLyrJcCQ125zWJH5iNHjNL2bPOZhd9yU4DQv02Lc910M2M
GU4GGl+jsfKKoPLjfjjvhv7cOLXy9ZgjL7S7s6ZFXypDZoypUObFeGdnfSiDfEgvY1NcF6leGKe7
TMf0FKlUyL7kSKa67mTVO4Vs2hRJNmSzJhF3lR5qmVgonJO8NCfGdHqRBaT55MTVcJ4Nyp43DjnL
8kfX6q5Y5Nw0psYSR5mWUVTPcZmfBll8bQrrtmuLeWQBLKrPZk7sSpHrRxGZUWKefCJhN3NNbmTU
Yx9aFvosGT5poyLZlK3HO7bo6naOWOBr7sgcI18pdTsW7DoPqsrr+qaVOkvbm36IbniAT+rO+E7p
/MHSwuuFXX8ukUW9JK6/F7SF2eQuaFfIcQwyyRDzcNquUBeeFYb7FcOJBxLshOQJ9yiNZ9zqJA7C
6yhuL5idHFd2vuiRPctE4Zk+OGsadVzbrWxG7duNdQnOqU866wQExafBCbUMYtRIyoJ55dJ7Vjce
gRXiVWnRycLOhuO0s7OTOivmZRwaSQfrNG3Gz03ZRXLI9GVcq9ukRX6StDCtg8T1jEOWrkmWiXAu
VJUlsk+61OuaepBB0+WeHbTO8ZOYeVFGL3LtWZI+qHKo4zB6ORT355//+qxy+PfpqNX/fLk+U/c/
fy1Wal3q0Ex/tL7Pz1/BbV7uu1YyG39sab1X9Nrzqb2vXHyT0lvHB38eu7ul9J7r3rY13lNU8YfG
g3YR0PnWBpW31qEIUko/NR7kmRxoFUM5dPKyYVfUfzSeewQNVinsmlkrCbxWaz81HvRXxtDUD60d
IYh3gAr98aAbOIG236GP6PqchF800lrnCejjCtoV+tZAETid6Lx26FqmmeiudN+mHtPpF9UON0K1
7Sxzw6scV8mDittCxgP9TDVNvJZawa0juu9WhOaE20yO1Bpl6FQzVGSwAkWYzeI6+FaHKfb6TNSy
NcUNc7NwgVwVLLo2uHDgQGc/KsU3Q+Nb3o5folxzmPraSFIyr1dRfpyK8pSWDagLESWSusV8zMgt
3MvvNDYSlnHkEzNgmTgm8YKRX+jUvYMkfSSLNHxMGueC1cEnxPqrKGyOlcClbNvhE4kQmjMH1nrC
2uueCDVzKOFSkL6TeZZ6QUhg+VcerUxyghiJZVfiYxwF+dzVqpmlsXZmZijpjKbBgqdZLRXN3eOg
ZJ9rV8t2cH1D6cyUDZJVbcdenA8nI06Yp4vIkSEa7233MVeBX5P+omnyU9HqPwwaY69Mml4yGrfS
DCCAeGsiaffDqkXqpMViLqglpIui+xDnoXQdy8ucrJKszmUYj8cJEVddLC4FC71Q1ffKsr+BcjgT
Kl1Y6ehzKryqwScmSD+RgRYytPmNA28oiEUoLVXPuyy7rJl7w2P0Le1HJHsEktlGeJSu6O5ywr4m
jntJStF5ui3YvDS4kW4vznDifLYyWnh8RPdxm2SyK5KzkQZ3ZV9fgvlxFtapK5ssWzEr+rNvrc8l
Ned91N9ol88Rt/4wVvKQuYktbXtovboMhRwz5cxIU30Xw3CLjBXLirkXANN5B+ZZVSd+wL7j0p6B
PixkZ8Z5KVTjExbfqig55omjJArFYkyELetC/UkL/pXmzdoo6ZfMdDC/cFWBTVKkstXqHLfZYwAz
0q1p7jOiFjjjp4YPx4prsHHApCER/Ww34SKMY0uOQXWNUacl6Ineh9bnkaytIfGtyDhyoGCaIDe9
TzS8pLGwEmlHjS1ZTm40L2dumR8PKK/dWaOL8jQIu/CSGHXfN1+z6oTCmvua61iqoULHUZjGctTs
TlVD9GnoavckSDOw40TTL1gbxBKZjnmmwslsMJEtY6v8biedds87XOniUxAFyQBGXVqNd62t4lTa
be80rgyDlN0WAS1TzwrpfcwSNWPY3MKevlEGA5N9wWzf7Vo/c5LEF4W7GMqu8S3sOL7u6uw0LpmY
5W2AZ2VHv6rWTmbjCMsti2BKF53moLxrL7Zt6llx7oeO2986Zc+liqKrPhofie5lXIWOH8fVHIGC
NmmOZ2OPg1nBnchPnXCeCXHZMyZ1GXsjcr7ENpgNDlit2onmXOuT2KGyRoOf9eo6i828bC3tjVZz
psqmlFarT1lUhJdZ2t+ljN/C28WLymWXTVJf95W5c1P3uKas8MKg+9Zwdq8U/SNHIpMkqLwko7ms
qnGc8y6+t6OeSTXmkQepyMsuaF1ZdLTz0ig7R924gG+JB5YsWKba/lpavJSksmY1Tb8PY3VXJuK+
rOKLrGbf6mZUHsrFFdfuKTcKjKwKjFZadVgOOrQ8FOBvqE9uHFKcA3iVdJOxkzoVd3nbdrBCqPbs
zolmlRP6fLSYD+Wlo0zSylcaFtMAS0+M8JwROWnCtpVxpG8SA1KA4FMwTs8Co89TO6s94Qots45H
MmhzV9I4z6QRTuKzHI+zINUrKxr1XLlVMtfGjWVZossicK1Zm5nhmBT4dAyDpTXk51E63lkDJRL3
w4PVVsntUPa9V3fdcdmwQuaDm/oirB46hWJp1aj0VF7cxQ4/i8ryIR6F9kKC8s99UR9bBbkTxORe
UAIamQjmg0mR7wQOiI3uRORl4AfcHJcJaIdSP7ikY7LJM5hrTW46W2YotOrTGuGhlSgLixn4ps28
CXTj/knyRouL/28RPYUBCDiYr1tEsKvn537x/0QA1jQ/IgCQfAdlKmAHIVmbN2t/9Yc9tM7R2HCk
PYPOl+DK22D0/IgArI0eCu08oB+qA1ucGCT0/hMBYBD0BccdyjveHAGgLoQZNu0haFvPuAPuKeym
gijA+vov/nIzongwtuGXIS3G8wq22ZSNVE5UMd/qw3YcQeAb0kqL8CjzHR0IdQESvDEzEyeDjLSN
sgvHxCjXkoRwj9Br0GCxWWAZlrizUBekkHQEq76XnU5M+KUzuVX6IwoZuMapsNzypGE1SE+3tXn/
ySSCSBFZKpyDs2KBV1F8IeDMepTRY10IRzZNq2XVolbWMdgBJrSaeWDQ56QgF3XBs5nKQUsO6KYY
4lpivJZcQXlWqvysqIJz3PX3Q1PGshcqgBWdL0x5kuVhIIewJDLmSeylQocy60UnYwcUhwlG8J37
8UsuXNB+rZFZSKVlmlSWfbFWeaL0u9w5rYvhkfS692PT/qF7m0ocZmd5jGw/V8N1o4ph3vGWe9y4
xgvaSntUjL2fap75aCjG2WDXtoQ2yDNkm8EHqQUundM+Wqw/y6w49Ewd1F4e4Me+L5Vn7GaeoOo4
tqvMy3F2njik9OK6vjf2kHtJ1Z03JjVeG7dkNip6azE0r4Qh8yANvNzKcxnUQXnCojSUPVOXCVE3
VdV5gSjPYj56UZ8UsnUqiUUFajb7xkAVyjpqfU2RbLPUzyJmeW0ZnrIgn9Wlw2URjBCD0H0i60yl
c2cQ1tyi+iK3RjwH6zE5R8O4wGH4xRRF4qXKjRcU3Hnf4iGEJupYMld7oMNPW9MmskL1l1ANMBNT
+2wY8K0O+xnvM7Bne3ycFslNWLTnsU39VMRGcj7Gs8AeMlkyKziu0yDyUO9eI1uJmVPRlcpwc4yh
4ZlnF+rSxoVeRDSfFzS9g4NT7/OkkqqsriwQy6AgUiIZmGiekyXzJMvvO+H4QxZJg+hXVBrli8Re
tF1226f2SRFWg+RBlMvIiWxvaJIWJjqJzsqyxj51RzBruu5LISCWkRD9pQ+6e8yaz6xJwZ6tx0UR
uVdJY3tW4khm62+9CCAQUXSdZ0Ra+lWKfeXg3Kfa3AbJmEqVYDNTQ3gSNiw8rnR1Y/j4FcyHPyu7
iUEjDwmoz7iaJS3DHkPmro0RB+ONxb7i0allqVMk3GUxOjXYjRXxiMK3rs3ncc0+g0G/sKi67lDc
yT6mtwwil74ToVzS3roMI3YRi9LyaBrP+zj7EjNRLAo8LPNw7I/TITw2bc2kFTmuV1hp4dM8U3Ot
i69JUbXwfmIFq2x0zlw0OL6L0QJ8hfo85uk87wRMUpKxGewb4xLiDvOsGa4wZqs6g8CcqqvLUgiw
DoPotM5pNuO4X6Wxe5OwWEhOy0DirB8gEjF879o8AV8IfDDwdZhHHAEBtkbjRSY65QWZueVBClMH
WqrJFFsKJkA8eBVEdTymouM07Jc80sVM86KY9dy9MHZ1gS22SnVPfQjjMFmnA0woLeajhb7XHTsL
VXw8jOprIUIy41F1ImjaeWWPz1BdtXOnt1pw5/gN6wk7CTV4N2MCogST5AKn+ekwRotBJ2dwvsGn
pA7O8iw5iXR1G0TVd927jV909fmggitulZ9LZ+0xDkMlURTyMxfkIshGBSs3ozOhTLdIUvWlUHrw
RAd2SNYE0g66etaFXHtx2927DbiiRlmwposSBo/Trz24v7Ac+3lqDJK5Q5Xn9iSfp0P0hXSrrh5y
KewknhUDO4t4/rUf4I1i19xmnSazoFX3dSJcjzbWPUQMVlGowTZLBQIH2j5BjQKzhf051uh7i2Ey
lAX/XNYAWAdVDb6dQWQSh0U1r3Jx3SbpLKQBllbYWTLL2kvbSm/gUX1wiq/GnLG5zSrHC1sLXNlM
nEPBM/UjB50YlcaeCZz+hHX2LSmDPyLhjos6i1d510DYlHW9xN1YHDdpe0cLNXpc9KPs+rp1G/n/
opX0awDIhoqjvzKQft3u/lyD8JR6eKL6aSJBAeO6dTTiEJF5Tnf8MJEI1Lmsu2DBaUsObNdfly+9
mEgMMit43ZQBrffoE/C8/mMiETgkEwaE1jsOnFbvuPgtISO8jghtZElc2OYAvck5GGIUDlSGVN6v
FpIeKWgDY/pL8HfcWdsFUQnhj0SkYCR07Sdu2cNp0rdFOkMo1V+1Yi24W01fycYtqi+/vL0dAax1
t/spN1DKCa3yoTMUWxf9bXLDiqFM3ci0l6Qq8GWYjkUAHgtIcq8HZ96VbcfMV9GWEDeoc0dXXpXU
oNqDsRHMg324xaOrNbqCMSLjkyzDd6NtOXgxcDtY4cHC/fyvOV4bv1scQxIILFY4kRryWmjCcSwi
wHbQl7S3Q/DX+jG7a+EUWzrXAgQsRI96nPixCBw5Cj7EICIQXeRtPWC/bpV+jPqmwR5497bf6FhB
dDuPwPYTtZ2Gs1Al0XVq3NO8caPGh3Xv3jdRdZZmnd3P4sbiFzFYK/nir59qGwbYkQx6kQg4zJPT
p4f+xWwWw1oQlVlzWejAvVchGNiSpQSmRlmY/hqkh3tbBjj7469vu55rv85FaAgGxwcKCueDQnCV
0DVbv9zWRn3IyiYsLgtnxJc4jcxl0UCgwQmi+7++0zROur4T+CsI8pZQWCqcyTwrCwZuex2pS6dE
bFl1qs4WgXYGItMymqHKZKNHQWkrL6F2l/+3SbOeFJsPChMFEpMMzkGFgzKnt4e+D3EUFnl8KarU
XuaJsZdptubBHvNmxmul5IAA+kWXVR2RVarESmduc9K5AzvvOa2RR7tEpV4iivyO1iVYXJEzDKvS
aksfWWMuPNtVrD62KR/Ns6CHuP3uOPP64K8p/2ItNqD8DjwrKAHYBApxYxe2HVgX2AT5Mq51E0ps
pbpgazVdhKddFKffIC5UnvdjBeEcxfrYI7gV37UYIT4yRKEA2yNpV3FNxWNrl5E4/WuImb0FMrhM
MInWJYJQHAppx00uee3EqI40vUgggxe4ENxyo3EB7gt157o1xqv7Cn1q88GGbFQUCa/GxaIhdbnI
WEm8NKvymzKz816KrAPHLsnVydBoLUu7Ku94kzp+UBWBZ1QCecsYoumgcJOmuOxKq7mqrJHOwhC7
ibTGoMg90kIU3OY6uyFJeB0OBe1lZkR1qYPqsya5RX3eEniR8UBANjAD3inqnOQ8i2zna4AMO43A
1T0fw751vQ5FLPdg0sUnlrO2VbrBGX3c2ZY/Jv1D2VT61iBLRLKDvO88aCpzwgJCPlcR7tJFICwM
8ccoDb7BbvYagkhFZf1pcpH7ZdmQk1QV5Qmu3OwxbkuIdpU0T29jN+iFbCsWnoKbZrwB3sMCM+Je
VV3ez1hXV3PwRzEkG+Cc0NBrO0gjeC2Jglne0No3pXsVBVaIfIyVPgZVQzqvQAmXjhbZH32OojNS
u+WtTbW9MG5ikXnD83HpcFXPGgiajfN2HTu0+h4tSZN135uwLG1vJBoZWYSkDee9ThQsjq6bDWFr
nHmtgsjPNM2PC/iphE7RkETlbd4KmTRJYnki6AQkt20wi5jOAo9qq8gXNQebjJkBfeooZn7c1CiT
CcwkPae6c5tFT0V/ztNxzIJPpqs0+JpDnA1F/RgFESHj16azepFH0q1BlKsHMuSJprU02hgIs+kU
Qrf9qRtX46J1jQ5O8jqOS5mQTN0iYdGTZKDUQADYzcB1r5DbA1w5hGiLIAB9CDnQrprxtAuRV2ca
B1dRhbhQ4JaILvKHPnP1OW80hRnVBQo34GOBLpxzK0qCqxaWDg+9ChKnMOFo2oCDmMW1K7MKlFcw
69uYe1YA9blg0waoYHDsbJDnXuSaLoCkgsjyWROAVTC3izAfPWe0QWIWJGXGy6PaymTbDGFz3cTg
g89UGDvfLdOKGPlIEb2ImWMcMHKDMDgtqNBgZ3tF31TjcNzAvp46mpVhJPJZ0LRjNXfrpojnQ8bz
4RhBeqX0bAKVBp7owQ1e1HEVWx7ASr5YZT6CH0p5mvvwH7KusgRZDbzyoviS5Lmbn1DI6GSzNNL8
ZjQakvGJpQg+i7qoEQXEZUikF0HdlsUtKGN6moQjSecGCgaKmdJZOM4c3I+u5yQQJ7jInQGmtgVL
pfYDjM1pTW0788OAhgbi6i3AGYsG7JNiTOi4ylLYrug7wAB4uP/D3pktWYpjXfpV+gUoY0a6abNm
OGP4HJP7DRaTCwESSAIkePp/EVERlcNf9Vte9EVbp+VNmnm4+/FzYGvvtb61WQVmpsDn8YnxrINZ
1nUqKvnA63KDnZPkntUjvW9rC58p4qrdcjG2m3f16z6G316zBC8XwkwVrM02nBseWFZ1NG5svv+7
PKCcwrRWLFKFsxye3uS49wIJZ1i9nOM+Cm+DTfKN52SJvejt2ttwvk1Hug6lpGq6SWaJI4mZrMM3
UBHh3ap5E8hnECiyuahV9O5gbLLxazCx6W3chsmnxNWizkmAi/cwS5dFlYFigRc/B60o+0h1piC2
rnjA1XNvLTqLlrXLk0lS+3nUTQRyw7K6Il3ih7kkNX5O0g+tO0i9BLebG6P4wUxJ8DaYPPwLm3qG
FFOwZq5a4OPzk3ZhaM+YS014x72Mvpe+2i/OtlXmmPWmMfdujSdS+Mris2lga4lyMCi6V5xg9H1E
fFzdAlVSl9hi6oYzZOU6vG/13HWPIZE0Pru4tfPN5Ka9+WxWd590XuqqwQr86mHYtiXHLDltRx+i
Df74/aVb1Ce8rlEEt3Ei8VfMoAvqvOmGbitot+DWGXu4Qg9SZ7jl9YyugOFrqKkhjMY7FcSrhtg4
NjAPG6vdDMmpgZ7J/Vm5g8MqqahaFxXuRQM3U4G/CAXE0WDvkycp3sNToxeycE5y6DcdrouVpZ+s
jPAynG7Xx2hyvrkytLktXBbZtU8Ep8XRSD+4VZSpZxjZqcqbuOHhZSCMzte6GdhSrjpTsC6yNTqO
Id7Wws/U+qXru+TezcYfTspfl+6DTQWsW1F7ArYJ3WsIVz1s3xTxr4qHa2MOYyroB8+HOSvsyFSe
xShzq7bNIx8mc6Wia5MyCXXIUPaSGMdRE1JM4t7Cqj6UuE02r47oOZZDoL4JFOT1gkdg4t6we8Wu
2sTDO+qWbalwyFh1DfQcpkVN+2nBSRstPlpv1b5outC33oo2/bLRSQdfJyNXA3MxyJYztyF+lBNB
sxUxRAZ2HvGx2MLr4HxucNunG7dmPVAOo3KSmVMs3JKcNpviw+n8wGzHse+G4UamLn7jTX48VI2S
Yrmy1Y4woRIjmrfoRMxXn0qUEZROcC9dYyzMWQvBEqfAqp56pgL+MRi2iCz5hg5sfTdOkUfxw0yt
qybzOnbx6tF+bpjvLUWfmbQ7c+oHD854NYSCWRle8W3GRcrDqYUi0vVbcivSse9zNS5+ehMHTeyK
Fd2NqWwz4lOzRHKW6y0TqB3G9FXgIqfLpQ+JPm5E4ervYseycoVMbeDymFR9sMkavG0bjWsNJx19
j2tdmHtJZYACG460PRDRpNDh5ueQzJYEedct2bsklMqWNmFTfBPXPVkeVW2oxuGOK7oaeYRPE4MD
6CgeTd3wJtNjE92Hzu/Tc+0Gir/LOY/ddNobbSlMjZqBbmyebvq+xuvXtGMH05CuKa3z/fOqYtz3
K5BH6LR183/JSbrhX/Rghtfpj3DNb9ma//3/HoGzTxL/3m/an1D2W/nlB6q6f89PMQXEKRZxBGkc
QFFBPcPc9ktMif7h0zgES46GFQwOvvTTb0KiBBMq/KYMX4QOgx/4028Cwpzi2TCYBzHn+juM+lf4
m+iPIweWiSRYJ4IjAq8dtsj+9d9MsDRCyfWVTO66pWdXjwlVPznXASZMQ94dLfChfN1pDkWSkvG+
P8c6sUUye8mpqzFfiDUUN9YCMsjbnvgHN0PhjtEf5ZEI3pBEtrkF25Z3TF48oBU3GYiF3PX+AaU1
ydnUHehGviWoPJAeLCvrOt5EkTYg3py9trI/eGRpcLO38+O0mHO4uPSldxQ6fNvQygbtsUe93qLx
aEP2qAI5l366bqUJ26WQQp8mzObU0G9ZPT/wiNxtipwhOT9x4h29wXz0GBmvsh6uqqFn3cT8HFD7
sZ9YQbzmSYTJO7SDDsAp2Iq4i8anwLBnBPjPoCuq1q+fI4rnnjcR7PJF1SAWF5xADcdrRrVHEwKS
RI97x06vamdYOx1eO9Pfqj4EadqyGyXiT5j77qZNvk54o3NgPsU2WItWdryIrMsKgfEjwUQIpybH
UxnB4GwS3VPYvsvGCC1ktl622vtI9I5mxHXRTO15ZtCvVWa2iq4NTETp8jGo06K1wym06hl+wLEb
vKFIIr0d2Iqeg43NFwOtp1jHICnhHBxTj196RqEAof2SYxyCfsIJuFtaY93EVaRfAaf4p7RLaVUz
1e1IT0my4NVzMDywRfBO9bPKN85lsWTqLdHEe+PR/tQl+qHH6UoXTHPxAuViGiEC7ByM89n6Avft
Qlj8NUtMBLsEaCHOjedYj5eExS/O3x4U8d4uOni2Yw19fWpeMxGvh8F2tBpNeysy4IvG0VzHgSna
2X5zhA65FySsaEZ2aMP5y9oAL42S6JAt3Rf0H/h6q0d9CHlqPi9QZN64JGl6dIOOHScEQ3qU9jU+
4u9PT2INnMzrhM+0WIReM6AgmadzgWpQwtyVFCQzvrnb33F0rl3O66nsANcfqAejN687jxVybJrT
uvh3G24GQJltduw8Yh/GGKSOs+ElitqoiBl4CIXv2fjo3bUMfmfm/AE9ARAMnaiog1Oy+hXYLXcW
mQeGSQ38QojbjtmS2GrgfMrXxrLcX5aDncQX4rM7tbAhR5G6iWaFcYLSh9VkrDR9e6tSeLJh8MGS
ZH3SOKufZdDCSFQ4BaPAlUGtx4pMuCB1GnWVxGAGlm8CrTOCHglwz+5PxTmKkHqYLXzQtBY6KbyB
yjEoo5m33nThgglAhvkMbSufe/C+ITef9ewdgwje7xLps0yBYkNLuXh4vMoF9i0ph7ENAFVL/RJm
Ks4TSYAgsyXNY66mXDZZX3KhR3DTvSi2afO/qCD8iHmqPlCDf2u1JUe5OVSlrk+Og5iG3Hitf1w6
NcDx2T/fOhX5FtdXRZsjuv5bMCttYbf50lL90Fj81b6XHAI2XDE5HLmop2qgvcnbTd/goSCkcE02
ombM+IS2Hu5Wd5jaZj0IKR6ahMfldy9mIMmVsBkT7+gfedI9+4s+zp552jpwMn0POx2Nc4WW4wb8
MgN2AuKHZ/pYj+Mpnc0rXJgGYO8wl6PX44btAAvdECfeCtP2b2iz3Eu8o/kQc1qJIdE5A8qVtNOH
NZUHG49XeDHfHCbKvB/EZeqsq1jgjlkaP30/GP9mdP3/2CEU2Lj7PXRqpk9/7hT27/3VKWAx2x4Q
BkYSADbZJdZfnUL4jxhL3WAx4GHK35nbX50CnrDsI5RI8bjPDM7Mfn7/7BQQWwkIDCEwsNA9Mzwv
7i90ClB7/yChAiuH7IxnYMAdwH97u/K7TkFkG5VLstz1C4dAVmg1+JfeBfFFbtATizYV79YW6Grm
vDdE7o56IhYc/mnZSPiYwdS+dWy6dsQ9Lb57s9ZBm49NSnP0zhiC+AZtaXpvxXqbieic8DSP+nrI
FTF3ILcu6TinhRPqzDfEK4QxUIlQE+uMuqOOotcINDswc1Qxn3drgUY7rHTn4eQh8WFuW1LEPTQ3
aprnFUgAONB4rei0itLX49s4nec8nr2wgItRROPmFyugypjBCdWy/tDToJzCdC20MWXC7ed0RsNT
K1HiWfZfVJvxYkn5xxRzbA735Rw5gqEWxjfUmo8pi48kG7eithGQQe3lkRGnMF2SchnIyTghyjVe
NEQO9xke8mcxOYSAGpUncLC4T3kh4u7Yde5MIMMfAmc1vBj44oSNXxmIptIF8uM47F1Xs0QlgLpv
aR1ut6ZbP/Exqa9zwiEXJ8jdwKWtPEmCx9BkuowhNgKMRKMy4KQ8Wttdg0QtzwSncgQDWoO2Qxu1
xRmvYsBGh36N/KKH9liRpvFzRrchn0NpQCERcDPoHQ5k4GNZ995aTLiac226pvI4BNHV5+ApfcOv
3B/6I6F2egqTZXtvt6UpBx8iAvoi/2ZNBXx723XPg15CBJWy9ONihHg0OlD3DTrTMwm0Ax5VI4Oy
9sMFQ76ecy+O2ze1leOucSF9ogFs50if1J8d4R7Bye2pswz9ByAuQdU0dnznr3jjjzWcvRevpew1
Jv1cCRpCp5nWueoIKVYRwjtEfilftgnXjYZ6ZMIbHHx4122lLHtjpHqG0EcLT823upH2VNeTO2T+
4pD1GeghS9D3xW68jadwgoXuwwfRU6UCeoU4yvKu59COom1X1Kkst3gHSwLCy0ys/mGYo2asEETK
Ign9GjjGzYCY6rXDofeeQmI9p3jibN5AhTh6RG6F8fSrC2vvBAWudGTlP6yKv4t5BOPr3497PxaS
/rmM79/1q4wjcEExUCFMupfq3Qf/Vcb31YwZ2X08MIjfZ8Gf7jmeL4QvYUbEwBcHqLT/KuOYBbER
LkGFx0rmOMqSv1LGo+yPTh5uZUQ38GhvihXe2Eixf/03A1+M+iGjeg3uElAh3YkvC+w6orqbtu6L
eEOAqtk+1OBRQjX1R8ugbfEGMlIDQmVgR1r30IhBMOsJvmM06Id0GY5I3KKRYEUqHCqfgSCMHsN7
HhgDU46Kx+4C3Fw3A4fymSaIJ2TB5nCvQz3BpPa1j+E5AXvsIGCQ5wyqCRIR3nSI7fS8DeJkw4iV
UbLccztFlZIex9f967aATgmj6GanFeC6IwvozSvEGv8bH82r3cKvxBvBVc1dUyDp8CSIAyHt4me7
eh/0Fqc5zL6yBdVQLBu9lem6Xr24e0x3TNchMpe7Grw5wjX4H/Oa1HOMf2i+QBwtg3AIwYxxnmNg
DUt4CDhphuiL331M1vsGGnJufFRWq5EBoE1ZZ5MuQWivMU4Y3wm0qVE0lWO02rM20UQ/BTyul4o7
LU6NXBrAPbI7YUpQVd96cz6hfFR+jXEFc7yrTEj6A6pXd45CzEBFyjFFrcxOD82qAvxhvX5YwEUA
plxUDmwZb5WpGcpX7OeNavcEHlg6odKPw6ZR7ubOVrGOST4MpqumneB3dIClQevkmGZ2fcC1Geft
3CLtZZeiGdLhQvsNxCLgtZs68dvS0tlcGrZkR6fZmsu4n02pQozCXhPVx6CbX0M6kKNq1IyMWc1O
Qep9XiZ8fHigsaqAhIHQVNAMQAoMp9hPv1FkDjEewB2TIy5VDS0bx7gpcNb19yRiXRUYmeadt/KK
BhLRyT7CYLyY5Ahq9ptwAT3CdWkQhPH6+2wb2AXvHOh0nBOfyAC7MVy5f6r9GO+Njz5FhkuH8WWC
qAZPvsPl5MnPIzxinJAo0iYxDcY8T19tNtgrs7M+At4Air4POyO40QofXoysW/KK+T9GYrF5BZoW
HXcOt8n9TUTHlo6IaRASf/YFpkIke3bXE90CExq5yzFeMErbwMOrlGnZSnCeuOdgYrahf7IbJsiq
acnmVy4i7gBOV7evPYDWE0HC+QE6siohcJjrVCPCeo0QWNC+e9sjcVr2PqKwMqLdYejV+9WjrPC3
esoHaofKNK5IFvPsMfUBG62QvsAZXTVig1Uh4PG3fgbGbG3fB3K4hzvBX1a6ZQiksObNOhMwkiPM
5g0yi5xInqTwvAaZqTOd029Nv7zMPrw4RgDHUO/VttOOfPLnyGsvfQw7FfnkI+i0tOiF3osIvcFb
cZ47+jrgPvVmXBeTIG+hit2roLlAoshyqYfbzI+/hCn9sPQexlLt7qdNkzPR+jRs5sls9B1isnXl
A1Qp1KyrpQXWwmu+HqNwQ+cqQSQTIa+WmUKT5pH5YH4zVo8YSSN1Tfztk4MZgzxReOJDc+my+o5E
SM+6SJUrhj3cKZC4JC623VKVeSwp/9wSKV/SbmpPLFo4fAHMsQ55jwuehIIITjoYjLXiMzUJapY/
yyqN1P1gvafUmB0Q7PiFyRm38sDGqlstwUtCoGT1pvSA7Eqa14NlDwJryHKD2+Vh3m+eza+R6tp/
6TQmTdXWnB59wNWPPdNjSUKI8qgw89G06Dq8BC3fGAdrtbXIhQEG71FhsvW4i3jwMjn8PUgqFd3g
eKc6eYVFupVdvJ1BQt75Ul1F1L5JZieqyPrhMbLAPiN/rA8ArvihgY6JUG4dlLE/QHJKXVK2cLR5
A6Wp5jw8htGeuG3xahuBuza0FvypjFgOuL3P1xFVyld1cLQSf2mi4Ug0CyLDcxukR6/tmrwVyMwp
BqlOCkCfKFP/REf+f2919qd3/KdW5//0SMp+/dPI+uPbfvU6aGj2hyYSjIM/WpN/9TrQvTNAf370
vdPZFeyf4nb2D+pjPTUonBhP7PqduI3FaciAYj15imcSxOiy/0qvAyPrzyMrpl+M0pArQp/+MVxK
HFN0Jg2WD/BpvJCexsgjuCuRvYKCrd+nmLtUiy5IDlm/fWsGo3AbrSvoBeTGYJz3D7QZJaJOSHyz
+DIYMRxUb3gebOgQMqDJR94vqPFjc2Dd0pyBVSDrPta4Ja1hOMMXJQ8iG0E0I8zwTJsV+iP0/TyD
t90WY2jiy+K87ZKM0mGoXvdefQbFv+7d+4Q2nlH083zv7NdgQI8fdPTc733/uE8AkCm7G/JjKnga
v48JZJ8Yxn12WLTnl9k+Twz7ZNHvMwbKJIwwjB3d9/mDBWCkMZEkGE3IPqMs+7Sy9OjOvH2CMfss
o625DfbpZsKYozHurBh7GgTdQoxBODevdp+Lpn1C4jD5kIclhZ0RSZH7HMVqb6rwy9hrbYf0Zd3a
BWHzRO3IvgcQozHBier5semiJ9L6cj6P39cY8H2jAXidQu47DtT3dQfptK8+aOY6W/Ioq+NjFFgk
EpI6ee3q2Z73Da/HWXZduQl5v7bmNo3Hi+ybW+WHVzJ5h8HYiyfScthgou1aQbsVCR+/orQ/8ok+
/y16+fs2luQ/xrD++QzxPw9K+7f9LB4BnKxducKIgjv3OzD8c1BCEgtqE1SrBNzpjzUtP4tHjOIB
e4NiXELuameJf+ldeOAy0K0fz6AKvn/pL+hdqE+/Awa/z1wIuiOZHiR7vfr9mOR8jy1ay/l2W7ti
1xYYxHhOxP8EJvp/qlEUD+NADB8SHTL1kGp+/4sCuPgqbePx1p8T+q5rFNofgW59O2EPVaKLaJJz
fDam3p7aEPAGNhjFH1qSsedxaBFwYiu9BgggosXXibtv1ugxWocFxNjK0AEuXWuil8WplNzbWkH5
b4MhLpcYHUnaef2dbXusfeHjOISgQfp5genF6r0Br+VHCGm0SggyAaWRX5I+tkh2j/1dPPtjXwRj
18NuqV1U9Ihgeb0ZLFaj2CG685cg6d4sfXunoSkDBJIOKBZsA/9bYsavUjEAfv7bbFEnYNzHxEuH
I8KWSMmOaOOxjYKKKnHiXCNDUUad4CWkn7Jf1SuCPI/YcHIbhOPrHC1PfcDg78e6fc465K4p6+Yb
Lxv1rQKgc+k5vRmp6BEHDk0uPS96jQE8nmCUIzg6qXFPDauc916C7oPcYA67NdLYcgvJAr9zC4+I
uL1bA+9jHzbIs7YNNPRpYnDg5ihscFkgZYXlf5hI4/1HTOEh6FL9TsdT5MqUyOYRkVevmrNAV9T5
7mPccyicCHZPuelmKHCeRq4s2R5VOmHpixcEt785uO9/ULr/6zdrhf4b4hs/Dgl5gtk/i7Ch7veX
mFq1YswRfWsq8ckigfe0PUGYzFUxneQJKY6mZJU4ZhWMhjy5xIeoCk910f0P1/of8Fby/cwH/k9T
bJtATIAgYPlb6SFxWJnADBjmOmQXjGSu6Bj80tHGIZgTmHZqqfdlMykSZzXxb1im60uAzyjtlCjW
bL2ltb/mJNxeJoASBxMCupmm8VCT7SXDIYBxCRNWvbkPqofhGmqFfI1po9LZGkHgphWIv7sKHfvR
BrJo661QManzLaHwj9G7h+ExRjw0VxOmeU4x7Qt5al2MAzTGkgV/rCyOv7BG59lJHpQLHDIhWlPi
Jr61Di6pYm2Xm4i9Y7D8gkjczI74uUdGgFW40DKqIEb77Q9z5d/yzb8vInhnsUw6xdPmUS/xgL2I
/qGI0C20iPLX+tZHsOqIQgAXSPsSYfemQtIeDYpi6PV+KV//3VW1w8j/QsL//Dv/8Gl6bsn00jFz
C2DvOUEI0s1sKDeTgR2asfmlhjic6jHPsAQn6c2UJwhLvNk0FkoQL3kzcPLR56CNFuO9QkE4jErd
hEP64Nfbl4SpF2G5KpVU4/XvM/n7mRxAavz1Cf5pWczNp6/f9J/6+b0q/OZIpnhKbohTF2vQ6A6G
/Ea73J+RnCD+jKDDrh/iSz+PZPhMyCZArABF8iPe8+tITv+R7ZAKwTfsC9H/GqyCTSm/u+TQdRDE
r3FcooaBDST7i/htAfEQnzfhFLC7mopDtgJgnkwi837Vt9HUfxg7Lx/dRMuNr5esXsVRCnbTD/MJ
HQh2fiyI7tKkaCIL+Sjrr6ghuPdpeyMbbDAKPO9Bco44y0BAiYn+PXyXDvuRKK1iPn4JZmjpE5lv
pxmgeLA8p714DRCES4Ch5VhZ9JLSvvSAkL/X4eyfZN1dmbA1cO0EycIpGA7zzG8HAMY5C8LnGSua
SsVjh3IRm9J6aQwUvH5drPkW9Umab0BMKjK0YwH87GnomgfH5KfNt++9VfXgwtkCFYxvVecllwS5
p3JG45yPGDJykw2fSdJ+aTJ9K5D0yrXFnzjDiqnMGNxjTUrZ9hBkx+3aYr3OsdUJjnge3idte+/v
oD/nPew0Mrmix/B3RB+N4cDYL7VpTdEH+zKzBgrk1iRYeOG3b5dlvefz1uSRP8EuiRD6s4I+GVGX
QgQPyMxq5HVjUXp0uzY9vTSTQwS88ZGAhL4cT8uZBWObswG2eUpAJQwz6G8PknFJG397Z0D4n+iQ
IOk+ZS2GrCm6wLZpD7RzX71lXS9saYLClz7wBdESqBHEA5YdvUlVcEadH+Ge1/XD6skBAuhEDyvz
/RxQJzaQeKDH5SybhyH1joMGF8QzGF/qZfXH7WgYVm/0Y4OsJcs48gbxIZNaIZ6wrKdU1oeJqa3K
Mpkhhy6+ILUhCmiHSKxjv1rVS+dKJ+oXhFvPKWSYG96Na4kfigmK8EPLpSt94J28DqZqkam5hKF6
7OqsKTPQTmXrElyQc5bc+gaZew0wv2Dz9mXWfpSPZoaD6sVg/TuJ7Vv1kJ14GyLnvJIbiDe0JC79
psdlqDQNEJqbJHpKXMpJ3LqSLbw/jGwlReClT5CkX5asa7EvyOAaIll/mozrC8Psk7fW5gxy+AuC
WNhzI2porkwCc5kXXMY0uwd077Abp49PnkieaRt+9rvhmHluqkJnbjwsGcD7jOR6bGFwNerzSuM9
/pqprJSGovCv2C5zCXAQY18ZLl5euT0mEtlvPRKujuGeDzsEnPo9/gp6+rDugdjMimc4fqasCQ+g
uiI2i1nxvWMI0qZ7pBYMeU72kO2wx2075G7JHsC1SOIi7gx8Zw/nBnBFr4gBq1zt0d01kW83ZHl1
Or6Z93DvPMhXjrRvGDUwEMl1If7DhjTwhlRwiHRw4zU3/h4XHmCBI6COll3o+NEf0gWCJOLFCjlj
sgeOM1D0w/cIcocXTtnJIJsM3fk1RegFdu1emuJqwFa8y+Ctn0J/ZbkKkNRVbsL2g3VJLxwrUKBt
uHqGizhNH5ByX4aDa8YY+wE8LGSLMH2/H5yzz64Oxw45arPoU8RJ8sK6IblMBizrfc96Rs6T8uKX
mqVhfdMmIP4E7aZypvUHQLQpevAQl0YNXbDG9XKKh26pbAuexeK6qxL48jmuwuc5nk9bJ9Bj1emp
SbcaIjE4E8uZzLFy64Fs252TM7bhiG3Dkh9x36esezcHqHBihNOvuz4EwtO+Mp096BQ8n2eTw8rN
eOrXri+yMXuM6PRVrMt7lQzbAXfxkdT6/UbRTyh/u6cxv87dmhRYCfMpcKjjg7R3rRWPgQ36Yppq
c1LY2IBrrb5DpDEs1qnrEGBuHXI4NujOcgixJy+Sn7B9DNZWOGMfTcrf8K79HBKLauAQ/w8PUq0j
mILkWMfIM7EebgGo5bcgGiSmLtGdCBgxuR35zI/eQu5YkPDDsrav2F952cR0riW20mQ9rwJwYnlA
JNJHiwLOJeyT2DA1NDWqnxaCYQfCiCVO6ySQsuHVNLgNnIA4gvkOCmExbcH3fuRtQsteZ2/qUd0P
xucF3BKkeADHqSa8jRvsJ0iYd0g0tvshcfq+S7G7TahbL61lMfgpxsnlS4utO0fr+qsd3ZAvbrrW
4/YhUWTfd3S3JgPyYFN6GWugE3M7HsBkn0dDXvyIYFuEP8D88wasAAT0KSMeFViglWPtZgmN/glb
G2DrhPE3mNvY8LWh2EZkurYCqVjQjdhQsbqDTvUlngg2avAGoJzOzhQbUrB/Elz1ssHg4U/gnz+p
OTuHMLi6aX2zDN77bt9V5mP5m56HCeVmOYiAfWspPSV2OA8evlqP5HVa2q+jCa4ibI5/95Pf+8md
APr3/SQySNO3Pys8+zf9VHiwVBkzyf7cg18940+FZ1/EmwUQefEfBpYQTeg/28n9YXd4eiUykP+C
nX4STRQPzoEwRBFLj7IA8PRfkYfBVf2xndzDuyli6VgIhD2If2wnl9Ghe2RNdGdc7BebW85wZ1UJ
yBF7vFJ1GFADgJWuH7IQ8qlh8RcdkTcTXbsy2fMerYMCOenmOmGHVC59eQOGUOdkG+cSWz9vnU5N
GVM9FMMw47iTzw1nFUJIj13cHuU6XdDpPqoRXU+rVqBJIzQKHYRvpECcinkZeh6K846KCUmM+h0w
qw8JYmZwaDdXpE7cJSy6C2xaUTVcMmxs65ItOm8LhrG5Q+FeGndEJB36xPgKifpxtiy5SFYfsWPz
MwFLSs2GXW9iyLsQxTtCpCtPY4G1IGNd+G6YUXeb9zaYXzq3xEXTNacQJyF6DixVFA2ygdOCdoKP
0W0n1KXvAItbrV8VGrHceQPqfU/udhSzsEzdtckyXpwA8T3zmgFtGcCsNpoV1Gf1rUkHv0Rcb4MB
Gm+vBDbs7RJnXzaON3eEQ/oQIpyRN0Z/ayAD37RDf04o9kvgiFuPjTTkznA4UdnuAWHKxAqQ3Rfq
docIS4SbfNldIxBWcJd2Jyl2GXvwGXawbbvPpAC3wxKH9xTtLhTf/Sh/7dtTtHtU3u5WtbtvFW2I
DO9OVrJ7WmJ3t7BhDD7X7njFu/cV7y6YFhOkI6xlrCQsMkjZV7QLd50MztPuoXFBXuvdVWt3f83b
nbZ199yC3X0D1gMfbnfksO91hXau6HHa/bp2d+7o7uGJ3c3zEUl7lDYj8Pjh9UFca0/+7v99t9FN
FHkP/e4Oig1/qdodQ5766YHsLmK7+4nr7ix6CLqBg4XbmOy+Iwubt2to7tFkyarxyJoP0/h56MHb
8SZFuHJ3MEdqIgwx+3KAbX+LeChfrEnadxKpvtw0VJ7WGZsQQpC+eV9L0CYA1/JmRGfA8b7nkfbm
E7GIrDQ2xrq9bOZfofJl0OOzulqY8E7+1B7mBI1HLSn6TUR6BZU6Rw5U5CRuoTe2lpR6FH2RLm36
sAXuoXXzY2oFhpz/Yu88tiO30i77Kr16jlowF27YASAcw9CTyQkWmcnEhff26Xsj1dKfMqVemqtG
qirRRQTu/cw5++iJFnuZnl3oGlDOp0BaiuWjQ5W87SronZmbNecYG5BnTBa3Z20dIG+HJ0uxBwqL
QtzrSv8cu2Wn+GoHSXcn9UnTNnFffYWdFdiLQm8ogUy2yAxoF+ZHTRk1qrDI8tTBPRa5bjEtmjUw
Wj0bGwrqCic5NtgoiItCOSpC3ceG8TS0SUeFLR/zOjnaSXE72q2nKPa5Nd9CW7/pqSFfqYE+R6s7
TUJRWHkDaHDGfjz1eED3rrv2nw29apSqJ52fJit5Mwzie41l0tOW7KyOqrYZXPt5cXC8x8nCrd7m
31obGzwu2UMJ0hhGyAmVIBbtVUFY5E65S2MNHcwgkRfO5bQZEOKtdcmhaIFa2a1BhTbzFmp1fu2V
6CGbwje17L8AY+QUVKvBt9PmJh619ym1rKBNDRrnFo6Y1sOliQ0wAWJdxreUQ4tGh9UOZ+TZLz0o
W99WxC1UT+QouV0c0Lnyb3ZqsunTDDZNV96gQ9njrsJUwLg4Ucv6GqPmxISSMG+bXL+bms82tFbK
ZOxjcLa+sCLKzaAspnOhd19LYR+K3nylqDAPcQ7GtVk+sIJjeC6nPX90tpVwzjDQLX5m2ReZcMq4
pcJkDRERspTNUGp7pbb284iISI+xzcfjHYPaU6a3Bgvu7KNz3L1dGBctqnaKqHcRRmfeU6i0Gv/d
fJdOHHtt3H9vY/sWcgLtXzkfulxIBsaZhxbpDnOqwl3Qe5kx38guu8uR02uxfMygbUir2Ns9GKU+
jx+zuPNwBqJDCFsbvuGyDzHfx5nnqDBdW1f3WNV+hn0xb7jHlHkHILt1buOc+jqyinsVT0Pwb230
ozZaCYD/vTZ6+BHH+ufiaP2q34qj1Rhm4wlji8N4HnX2/+zOjRWYYzgWVBH26yj+fi2OSIglO5R4
dtSFAmv2zyBCh4qKwRiVzLoXY6/+T4oj8YPo8dN4d53QU5wJVhe2w0Ze/wOLIi2qrErVRL0yL2zk
dl0CeRjV+69N0geDSKeNmofpni0xg3TNfQ47DB9hw44Env5Hl2cP9DPuBp25TyWpUoTHH72iHtqh
PqVKghkW0dImrgfAmUO3TQ3tbbTx2LT62N7kdX3AmcJlG1+hGxxy6Z7pjTdawxYayjiMBlBeG7t1
9kUM63XEYYKYrhstai1luU2tPvSyeLzXje6LG9sKmrvibk4VbVNWyqMi4wbYX9Ju6jjeRqF1kyWv
rGXeYBP0m8RMEBpzijR162m5eZNjxw6SpdjNZcnCuxJXGVMFqJq4WUguGIr+xmnDb5U73sToiPXZ
Su/EhHA8KsLzKNiNR7ryZWzMgCdOe2/ws29GWBxL2zzHuvotshPkXxW2dyvLniZb+dab2KHKzN2n
qXOes0gGGn9DqKbneKne26Rst0OYxsFIa+hJvTZ3hRniHkUx3jjI8Kvw2vbjW25hbEltPExOvetE
WmKKz1d8oLZ14AfXIbY/HbOOOS77ftSQvC/uc2K5W5Cl53GQO7VzBq91krsih0Q/FNPJaZfT2Dpq
MIbVaywB6g56DRMQxnDdztDa0u7VXMab0aqpDtv8e+k0ZzyGEUDW6OJixPaLjouxZRigdfq+DVno
t3X0qGfNQa0ksgsbDO1o9QieLfmtiOyHKJx3qBMnDCxw2FavCvkJnxPmlQUTi4WZhf8NDQebOTE4
TlCujheZdLfFDw8MZhjrVK7OGBdYiLV6ZRAjMlvDPgN6eY8Se2cNNYSK1WHDvwgkpg6qss836urC
GbDjcC3sEuw5YtZ27urXqTDutCtNrStZpxaYevrV3VNj8xGr32dByjmvDiCxeoFSTEHVD3fQ6hMC
fL3TMQ6lpthmFLybFEuRSMdjsnqMZDNfGkxHJArcdIvZsTyK7fkry5XmRRYd2BwmYc7GQlh3r6+i
w2jjNLlyp1ZufY9AK892jD+24CC3qSLRxerhd4B5nyFrbkSbGfyS2j7axfTcWs1Hl+LNq8ryzo7c
nSLTO63KDo6Tmx4oHb+abC8x7MGPMxVdv9ldNCMT/HFVUNs2NoYp2ZfdJAIJt41Rqr14ydDmmC9y
n2nF1rDm98nS/Xqa3oDlBqo7P/FGswFKlMMcKye0HTuZKocC350Frj1KMt+FEpnk8zZ10FxOTrWZ
xXI0qu5FqxufcXPk6/m0HXL8ZkacnOy4Tr0u1VcG+G4ktiKvct6Q565JdvPUb4mUYI3XH2LgHWzt
8HjnrS9j9zVP1lVdI09DhbljqWN3O+VWD9aSmqpWWSm4XxnO8RDM3jzBrUgZphrVfBZg2cfGoCDV
UVciWuO9NQn86Pd92zCVHa7J5PhtIh7VOMo37tycltTGnWbC/WUAybiCmRXCVFbF6oPZh5+11fLp
HPJD50aO19rDXovsCTcBbYqRM1pdBqjE8SaJTUgIMeJb0Z9Hu7iZlAKUMRe4iJwvmYFK2HL2PTVe
Q0vi2v1tbA0vql4dQjFtrUG1gzTJOP+mgkWBVd4bPWTPeGmuQo1QDyf71SJTxcMltJbHGsVnrXd3
oQ4opB42Vs1gdnJnn2X61rKawFA02BHt4LdoRTmFja1rdjdqsWwpMwfPhcJRV+pHFlLhdXr/xgSS
yaFuGgfNjm41CpEqiu60xTm5Drz1ZVHirbWMR9VKPcS10kurKAmYErkHIzJpfeR0a2QKzNL5Vned
76g3t0Ve+a3VBS220i307sIble46d9VtZztPU9xLLzdNqBK56QYTsJrXFPm7H1XD96Ttb+SkPmd9
cUggr0uXzqpv4vt+0X2dPA4zmoO+16qLnKYtQJOnVNMX6sn0mRM4aAvzrlFwKEWq+0Wxmpepnm7G
XFabFiwRHqKV8gEfCD+RnMxrRIYH9kiOcTEfwtqF46qF9Sz2yD3TZ6SrY+prSqFtlaUbPWdygkyN
D7qZ4pIac7wmpfwmBqP356GcVjnEu8tUVWtyA8EEls1Ip/tolmQTGsDqO9IU3C49d7HNcTlPpB2U
8UuZ6Ez+9HuiR0bKV8jqsv2KBsanoT5iyLy21nRYdM6vxqZJKsziaZqVZyaCVJd6igDW8KuMFs8h
pWhI4dGKxSHrpEJd1if9XdMxtTczm0lxoYaQV4d8AoNrDPKXJe5/XXjr66rvf8oTVoHgvEwAyXjb
GC/hk//9KrCtiXmaXcO9ag/55tXcDre1B7bEc98f79tzeYyDEnVDfDJ3oy/35VZiGt4n53+Hf//7
F4bBirL7mwKXnNpjyaw1Lv5c5a5f+luVq/7HRdwF3gCNk/bD1/LbCBC/I5FaNlWrawtLpQD+daPs
/IfobIZyZPEBnfsxuPt1BIhC1NH+3zf7URr/A40XgtQ/fooclQHIGo0CPZBMsD+YYRgN5tMEpOY6
K4MF8VoH70x6R+EkB6uXxTUW1jmWtrxYJpbbxTLv6jl1N0uk3huhuE+b/hNRCDiDSR4SwqGkrW15
RE+prnvKsByzAgRCweWiQ5MfBOa+yjipGSxko88vFPrbMLJPrUSXOCt3ViKf7Ll4MafOc8L6k204
40CH/XZxSCEbS0VZldF4Ix353MzQW4RKUZtd+hmxp6teJhsQt2tB+XKWnYkphAXMk1mDt+cvCrJm
/MBheQ7R/neN8WZE2W7oumMRWlQL7s0g6kso5cXl4nYX4UWyuvQQCoyyPoMoeqGZ2UvUSS4CWSUt
r4mWXEpFC4be9et28aU6UGu3t5Asz9E4e1gbd8x2AiOzLo3O9el+bxtXD/Jk7D3Z92BqnPcVZRZb
KNqS4aC0rj+YLRzZBXV34ufVsrGq5mFu53YTTvE1Mm1SWUYmtNYTwJn9Mrf3QDU/Cn264Hu7yLA+
DRbMuqU/5s28hxWDZr76bicVXGmA2+F6kYh7ey3MsAbtO5vrU2TjOe2pZrS5vqnD9N0oxb1bWZ5E
zboC7xhudKdIz/0lGg7NUnBBK/eJO0HDCp9FPj+BRwgs9ECbWoK6xmCEo0OtPTuvz9x449Ya6+ku
Y/vsl7H1jiK32VX1tHMq7qVoql50HTtIPk4fhflDnttEah20szuSedA6TbJP3EIeurJpkqtYlolC
QFiFsRsaMGOuNvLuT+3BVEp1V0KCXOVG9ylju2PBpNNra4I7tEwzzpO5DPgl8d1mU0wzAN/JD40l
udc1fZfqarsxO07JQmtXjpQT8CetjDSmVkA1oM9VMMc7R0283h7FHpoaBFBrfogFIj2W3hNXD6Ro
MGVkKVQ1nqKofXKaTg3ox9bJjH4XOzOo+eT7aLJGYnj7qOjh19IxfGcW10U3t6JJUe6lo59iMRJZ
+EmndcYh8KKgyUvOTd8NAf8u7qEKAy5IuCDOyzu9BATed6zmB4RGoWlp3iJFittAfERwdzYqFDHG
1nXvt8IltGqIsCknZIP1jLUEwQ7DQOfKzPwzqty3YtafTNP65PdH11xCBJpnI1trP2aYuVH5UE3k
pkrJPBkqbV9ljc8W7Aou8ejk47OY5u+9rUIKcI7gqkFxK32AQOQZOWGAGLG+zOFYb/MBV5LeK9a5
zMIHKBARbtq0DfR1/tYLA3AKpl62rbzKdf5NKdckmdX5a68e4AQzcKhku2R1B7vLgFGO7i/DOByr
9gc2iY9JMMtqVm8xHNe9sbqNbZnto9V/rNf61qkYZ9eGvguxKHerV5ljinQepmFRD4MOO/McGXxz
RXyNV6ezhUsP8N+HgmqxXb3QU6ii0ApfjNUlPbskzCB88cRqoF6d1KJDN7tgrpYjUTZqMs+wunnf
pzB8NdZCM6xCm8+Xsa1Xn7brjjyiq3e7LHksYTS0/HrG91zVp92wer17Orw4BX0+5tjA48XidxuO
FQbxKWeJPy89uh3jMKLtlN0ARk09dqu3PFNclzgawDQ9a9pUqg8jRnSzkI9Q2CBsY1EvmgTRAaN7
gLjKKe6hORVz+gQNBtlvXtl+9kPEL2VabNHDI+1XSlT+BAaowOFR/gugHlicBHsgsDLq6g+YC0r2
YvUMTL1+ZH5xV+UtkI3VVwA3N/b+Hbb9GLapXMv/vRb5P1kVF3+1ieSrfi1DVkG50Ak6o1L8Yb39
adiGXxd7Lf/5BVz9uzIEHy+BwKZhorW2bFabv5YhVCirh9Y2KTFdbCz/DGn9B2XsKmwD3wA/2AIg
wyyQ2d3vhG2IHsYkMZzsqmj1lyhG6LFg+dNm85BpDGwSCu226QPbZCQxYI1nnOLOKE4dKPXh+jDk
cf0jeIO6nSyJyFS3KuES45oy4cCb94ZoPqld6LOjx76rdc+xwwg/I6BCrkkVg9Lss7R9zy22Y70m
voWMULxKyUnxMqebicCLdE2+cFJcHyrRYtY8mNyXdH1EYmV+k5uTDwSt8+w1R0PMqsVghGyNoqRT
m03T14nd6CfyN8CgvRogbRGUz98QHxxBThCkADRmEw3kd+SAbUzJk1zY7u3iai/DmvWRrKkfUhJ2
mK1JIMmaCbJEEGJQSSA2CbnWu+285ofUuBI3OpEii4zO3O83FVEjkr8JaQ5nRK7r92Oc+kOEbDwl
oCTU9MeQJENML32+AZWFAHDNM0FMiJ0RuVVuzLFHxOeLs6afWOhx0P+ZQx1HD52eVG9qPT7Pixhv
uhVUYYDJz7QRNVbdvBHYcogLNDXVSPffm5B2RgxAvYEaWYbOWUb6s1GzSuvj8Yr+zwrStF983Vyi
YHGBHkaNuyKq+ntDkd9MaBg7AJCeBtbxprTeu+kd9uVWVNZ7OxvlDiXOjkVTFDQ0jOWzq8niAbtn
lX7G0fJtnBDOI84L7L4qGdQ10nHe2SRdQj7fB7Ur1P3U6eVVb0L3KvKwPc5u6AkXG8/I/dE1HJ+q
RF0ihTtfjGRh8xOX+bgDnfuCQc+341yejan8BKen71GEuEwjCc9aNv+ec7+ccwgU/uacy9+/lc2f
2y2Vr/r1nNN/HGaI/R2h6w45Rj+dc4gxkDlYHDWQB3724xFuRN45vdYvmJifyf0OlhpM3eqv5Bn7
n+wU2Cb9sd1aATIqqotV+oEb4Q/63bIyiYxBR3hVM+MRt8aD3jJdF+1dOqGBIAlSHiOVy10Te4oF
GoA0DbfhYJH0N/UhVlBaLXtmXUy3dK9SCYPxYrzBiN0iVkS761SKTuHyvQq7lNjmK+3gRpjbK5k9
NDb24aUonY1WTmelVkvW/YhrYY8onjKZoW+jK0WKpSuIPsb6ohb5o41X72wPS3FKdB2TtKXXGNp4
xPTM3okWL50zlKNnSYq3pSkeZUEtS4AqEURNe6grE29CF7H6hBpri/wTtvgzXGYyM3RzXxrKg7Kk
qBbr9rysCNbFjD7IXWCebvagZkpM780h0U5aZHwb5HtjeAwIiRVGPTEOPeCGpYcgRwvoF9mU+vrS
VkE1J+/jwjE/dc23vhuPWlcxm1X5g5ohPDAnu50xyFCdBMpy6jvtOAnnzUysQ6kmgmkly1c8S6cm
atgNIvBjpo6ucdKu+Foyhl19oDkqb4lht5suitqDvSIF8MHcE5Ur7lxFfp30AsWvA2w1MzIv1qS2
1esS87w9aAyFucqqsOyCLF3jE9NR2zSqcwITcJh7zArsm4AyFPdT2nLkLL0W1AYDNael8bRcuN1Y
IeogqrvhIepUNq2a+xIpZbKBO7Or1YRSy34U7vKuKVGxI15403HsUaS5fqmjLavgNW8qUe1HddA9
q6uPhsbfsjT1zjVyApBCrVBvK9EVD7Th/OCm5Toor4tovsYlqjJ9UG75gL+7JV1Ug7jkKFPtlRHp
uUHA4ivIE/x4ND6nsf8cyI3ctt0Eia91wj0I6A9IeioaHp35JvbNbTz2D6YesfVy1OOQJF+qxb1Z
alovs5Q7DOGnekZy2KrQFbsIu06ZhiDf2vbSJQuPz/Aoo/CjljbLMAPodqLkDyQ+UWfr/Utt2Ie0
pqtzTIZic5lxDVo5658CKbJJfavKIxoexLzJ8sD3HE81jCf8+WUZdPg3vB+8ZRrNdKu565s3GbOn
WqEF/k28tGXSQMQAndS2RXFs9X7yJgWVgJxjmpEWCfkyteVrpIJ6KKRsbhPLRM2BbX4qZrZQff6M
nQfVdydB3CZoR/QSlIJRFUGYsWhsKfd52juCAzHek65kSTJL+4O6kCWDVPdga2G2s/hdNrVlzBuO
xY4eoL1FVLFsyhqnV8eGRwGiUC4dOHQWLBUcBJ400XngmCe2C9L23QgPj9AozvkHNvO3Ce0Gk+0n
bUpuzKY/lgbuI9E8DPZAT9PmO6mEKY7/cCHsVbsMU/8Ulz+8CPI2F/1dGo3PTkq4ar68tiF4pZQ4
kE1eJs8WRCMxqfu5bR8BX5DQ2hfqBjGRwQKF7qStA1ttym0+Oy1ag+kcNsZdipQymEYtsPXqqPd9
QYh6/12Y4VscaVdyCS7EKNyCoaJGG9qPMDQR5qbLayapLkTNUgxm9Fub28ilZlqwTq8eSynYH1Ql
2Yl8asjNmNNno0/MPVMvhgsum+hAlhDfzbj0/73Cf1zhJnPo/36Ffymzv4gnXL/mtwucoSj4Fmal
rsaW32Rg+du8FAgcBlFGlTbnG//487wUSSTWmHUWruHNZQD7U6MCwNVihe+S+ILa4J/c4PoPi97v
x+6OamH0oQ62IYi4f2hUumYEyKon07XqkKVUTufbYfNIFoT0En3u/AUwyGM8aNlVJ1/goe1DwjNV
jc3YEmoUrhMjjhLaSC2Mi0HVEYCWB9VsJ5/GYg1eh+XlRtbDB9R+PqDzGnZcZ9OtG0W4YPLC9lwM
DsSzcdKqTKSgn/tDLMtrHhGhOwIsv2dxVux6PERBRB6s32raE4z9bJ+xHYO7AqLF7A/G7DxGkEC2
Ewh4kFsonDO0g56w3DdFtca9OzrPxaLHT7UYy7PU52LbITWHl42RVeMluMaaE4Iw79w9a7J1u6Nb
mw5g/36sbOTYkeHuq4IjJ4rs17LlBhYVYrFVHdTXSPxcBAEEYzNd6j1MLaS6y+qo9iJI7UgN9Gg4
wn++YYT6zKt55sanouiwjJYWXUqRyjdzEKxWeXC5kF7Arr40ZpEFDJGI9Ijih06wUWRXBkSv0GzP
iqJ9uuC2Vaz804hgkk6FdbQasqWBziI9xfez7RQTWFM4omU1FxLhsoSUguqhVMKLyOYPZ4n3xop/
EpXxLZzbW6Ul5w9C2spehUVTj87FAJJOQuVyMUve0q6a/Hoeb9Pc+NCN5gWk21fg3jgpJRCVbLpa
pDdt7EojvThi+qiM+sFk14PFY8IRFbnIBp3O0/N1ScYOf8pZ7tsGJCpNfqmi5Q5V701Sw/BRJgIE
SHdgRhSWaGMBWjlXY1YT42PdIc0Hu8P6xODsRvmBF260BhSOycUubfNTYWvPyEdsNGVmARnWm3Al
FatDxn1M02gz79voKNshIDE7HUAOhKqGa9ZE+z6bKTGGjOlbZdHvG5Pbc3Cago1s+rXWKwFzNZ6Z
UkKTKxN3q6os9Ejh4EXGYn1QZrj3kcnqe+QB91Q+qUZU3WcFnqAhhtvvMFar0lx9LGTIFFyIvYaC
DeIr2S2YQnNfD0fwfCqc/Tn8nGcINYpjogQ2H5sufNOLgqY8NTwsfBeAstlhFHjL8rEHGw9xnCgW
cbU7ulIMwp1XAZdjiygeBmDvXtiZJ5IGK88tZteDd3pssj4+anN5g9EHU1UZ8y51Ltq015ZAD2WM
UPfjzBFjvOtqJImemze7dk5p7mfpO3X2ITMTQGDFo85jUlX2xAubv1WyPZLuWR1ShTxHNozaFTrf
CjJU5D1xidGxEA65n054GWqkd4lrIaOAlZ4VA59zbLoME6e7WSNCbq6rlKwHNI69rod7te7ILGxL
sZuj0PVVpW4PVV3cRJJtOM28cWytaDnWCTAPUdZqUNYVKWIYFZZ0Pipq9MocBEB7Ek8ep196UGLh
ooWujgp5y9FE9IOVVF9qQM7f2yJfzWq9uLOT5HNJlg6qn2t0zb8t8C9rx3UD99/vz4f3onv/X5v3
5uP9r6ys6xf/epEy8VvbXdsQyNjWIImfLlL1P8zycBeseVY/Zne/LR7N/4BexfoK4pRUL27a/7lI
DVA3uoWcZr2WdL7tP7lI/5zBZiJ8YyWKrg54jrHuJX+C8BkSrXA35+Ii87elvUzTl59elr8wZwvt
T602zECBHBDbLZ4J0169Dz/9hD5sRUcR2F/I0AnYL32fYSZkYXJvNt130iHADzexnwsqcUQHBx7G
fVMnqE4r3JcrjaEEy1DY3N5gGpJebgXYBiUjgklfZcLN5LUr2GGR2VUbVtaDMXS1cY3ylQGxuq8i
XkQutRohj0FYLLRW1TwgNwjZ/agQkolO8GfUCb4Qcfat1lf2J/d0IADb0Q5GymtCH+27qfjaywmf
P5IRVgtEyQFnR3OhOVdMYUqQOc2r20RGoOna2tWJ8TahUMbMUHZbrWGLQgbJzdDEbyxlT6au+66b
z6cx4jLMinLP+bj4DYFWoZnt0BueEaqD0VoKCoGRGaeYvuepciXiE0Y07rVtLxzUI92DDU1AUauD
Ubtvqarsi6o/dpUKTb2f76bUOSYLcPBoASPXcR7Z9nuoDcSmI46IkPD2afze0TTTE2PPN519FiVX
haQxk1GaDPUvxPAc3d7e57V5EkVt0vcM58xYfAvFR1MB6J9rrCACxR6GQOx32W0T4qhoFwwpsfqF
BdwKC0uOQhGPXaalG30BEo5/4SEmV9OT7YTK2IkPc8aG2ExMJEyJtVNrxHOllb71Ari+2ni8F5Ds
i27YsnY6TshAXTG8iNLwRmleuJe/tN1yTWNxL3PCcclX29liOMuxOZSwDaMpeZEDi7PcHffZMJ6k
nj1YWol3O8leAMc+43l4scJ+WzbWkVimrTI1b5boKqoKJGlG+6Xkj8fzOu0UWJFpxqltw3MMTcAg
06kaEw76OqIsmQu+qYPWSNgh7AH7jacAd23yJQoBmkwthgKl7/nY1N/nMtk7XRIIo3pbDYyKoj60
eBY3KcDHYeKyM7OPJQ3vUuTfdLPRKSW3kQBU3JRCsR8lkUpsIKUXxREzihyMm0Y2h1JJ1pMLMyNn
aotjTGKzr1Ta4JvWQ+KK156wwK2iQ0VgKsvTk4wPqpbcKD02P71GRm7WQMkB1N9PUFi8noDnmyFS
AeJbRhu4GR5sXcDQHVsCwsERB7FpPVP9R75bh84HUVFDINHNoE2vrJ7nm4lP6+WzwiI7iYcYS1Js
nerKYsTDS7ExEFh5jQIvKclK6dMJNyy8FcryRYBL6cL0vkSm3IG/V28q3B+OnJFy1c1Nx6KREUqL
hH6ibjIokDS9bvcUbEkQxf3J0iLclGlV7LQFryQZVMEyrdJNkVVB2a3ToDzOrjYD6tTLlPaOMVzk
hWH11Vzm5yY03u0U/pOhnRMMjJ6LPZ+cZ+UUsqdet9nmJrXMCTtFmT9gCod3r9lh9tKnxf04oNAH
SXAVjNA5WbwmESQkaMwNq+IGvzEHIvsAzV7V+ngSKqZhnFFHYCR7eH9MihgSLN0J7OZOmhh7M/Ul
ZZFu9OpxBIC6K6b0TSTwRlok96ODfljrVLbfIrY/qpHN57KsWwhByNxjquXjdoiNnWGXZKaTPeFJ
Z0lZdMbNeXHSi6FX+9Rt7zREgN5qs5ly2vtlNH2OvIOuhT1Ru1ZzyObhySJbONdzjx6gz9CA9TKY
Ifm7nDn9cVSt8q0QncL5q3yvW6niKWJix4+DNl9Z4loaWYOWMUVfOCRy2BWIF3Yc/fIlrPkJep89
Fjm53xq357GfG7CMSXQpSJ8miMdwIDFCvBGl/Ui0AAtwkQgkV3oLA1GE4RaTzaMVzo8O3cMrAYL4
b3qEymYfaRt7nLbdzGK0UodiV841tja+cIMRq39t4szZrpTiZdVsS24l2e0F6oJNOlZbw8mJt8nL
L7Rph2Jkm26jymvLqzrbx7Sen1SZBEMMGqms5FOf6Y9OX7s3BOwM2D+Txi/DDBx4T71cqeqXtbX1
jUnUr71VaT4h9OhvJR90ssrBD4XGqz653UOomxPjKcUlN0Kdg7+/nmnwfxKvgU4Bk2GtlHfmqPhX
LXaOP1/OFLwWtPKkIFMPH/60HExrvBubdvv3P2Yd6v/Fz8FjYNoGrvk/FQGdveRpJItLnmXn1tKf
OJVuHcptjsuG/MV1QTNn+2GqtpmT7ltdniSMVUcvbjipTiYNR+KmdzLEVUVhbEiCulwCFqLws+wt
Ftw8AggAL5b6/6PL/OVvTpPOooAhCGvb379CZt6X0NhSkinZcEbzo5qgcy9Pf//6uLhMf//6rA4H
cltXIRlYEfsP70Pbw2HI0364EN5H92mJg1FyMKjM47fIucwgVIZXQiTKu8LlM4jjeXTGdZFYcVAZ
EACSfCsVcKeEv7gPBbdSXw4X5h0ZTwlB5qZOuhfU5EtMiMoUol4YdZ4bK2c/OLsgn0wte087SFpZ
FO+Wkb6z1axAZnEapJ3xVWn0LdSk1ftTWwwqXc0ra+ixsklpmFlzzNI61Iv+CWj2fbLh5JpqvJns
7DwvNnxCYnH3qjYmZ1VWpFlMWOUjDZWMdBMbD1H0HPZa/liPJveHFp3MnH1Fa1Xd3gLwN5RccRru
gJls5aBS9StQlsKfFlbEqMBPofrewzIy7QPn4hdHySDDjtp+TgRCZAIRC8YfaIxx7EEhXASlB4DD
1LcjlGyTku+bLjcxV03HXh3eUyIFvs5kcagWQhM7k6CAFhq7tt7GRktXr0/3uWVlFxezomYt001t
t+e//zigYPqLzwMPpMPHYRUGrq7kn5/L0CAZkf+vu9ia/m64LcqZasguFi0j03v5BgOOmW8rPc2a
fCfOGGQYmOvsFZQrU3vPEP/ckVsIefpsls6rIQq5bXOzhvyiikNu4ieO4jTHgTEghi8FIQBc6v5I
tKCPLId6hINIzUs8tWb9EOW0nJpsS24DBDkd26+iqrfki35tWP8y7jMB0ZRw/XP9ydJnamfE8Uan
+bBlaww2WBSb0XoFcH0AgPXNsieWHyPHgJuBLZkemXKcbMJ+arQCDEn4hEC8nfUHcxjOaSIf6ti8
z213Z83dq5OmGF+LUg2suqcWrIcAiwm0uJWHbCS4JNEM+OCc3xU+E17lGl80Q3nV5ADFqSNZVtrq
dlgUwJJTGWii2alqciBRItDZRnMb+SJFS+M4443NVmjUhpZrvvL6rHs0xuriOtOhLed3QLNfa6N5
L2zoFDO/Z1/46ZBeSzmd7MLajtgxpA1bM2ZaqLvxXVop6YGo2YDExMDKwNFUPzZ5EX0JD+OguHdQ
O79jElqpFciXeiZhXZ96VkvQH5kSmmaRS0rGiwFW2VlxcyJaGNdQoaa9PClaGKTa+AJeZOXI3JpS
bCJZwipR/i97Z7bcuJVt2185PwAH+ubxggBbiaL65gWhVCrR9z2+/owtO22lnFaG4zxeP1REVWRR
JEFg77XXmnPMQ84uHo0MX5TscajadU2yJkl/uqco7JpZMK47tveiQcPeS3XiZam0wdV6WHAmWA4x
eqMSjqtWZtFdkHcndJmM0T7h69uGRQd8uj4rbIOqt8uIDq3Gajtn1l4Px0OlYpIyBN5aq2KaS1iD
IwJApZZTQkYEFMbksrcKEilOpuFbgEno3mGrMAH6Ie2zhvtKhpuSy+dIX4GoBPpZEo1EdAUBYRLq
YK1a2pcrC0D1ZhwWr6Ju2DKoaUmis7bNQBVi4QxBmjH4+NGVX2xtv3hSNXH8fXe8VSNnhqGdkv7J
vj+05zlt2WkART5epM25wonl87WBg//fdop3K4P24TitRlHB6YKVoSxfFeKfp6vBOSvCB2SQn78R
SKy/v5MJaQvuJPoiXQwH3n+zsQUll8jDdFyUOSQucGpXcaDeGG1IhmYJQwcr/qGqYiaIiqyc2yIu
zEywpdJtwpXF3121ivQNJP7lVGi2ixz5jvCNi1K2rkEYElycrLpWvZ7CdsKKFa7zLn4qEv1eirLq
KuwBvBhR1G1yoz8YiUx+meLPCvNeSrwN9iPrnmD562qB7EEcU691O4JWDks47wzCkpGnHBq2bYgo
h1SlCdpLoN8JQ6qU+7xq/DgLdmOF1zabsCAbOTgrkC2EVT/Wk9Pcq6GwR4HP+8VV/bHf8ger7t1F
/SA8SE29iJvAno729BQtX2b7V9Hdv/jRPmwcspRRI4fpfIzt6ypx3Fq7/cVt8fkbvJHR3t3vuZmn
cqqG89FQTzHUGC6THM2/Cwj/0VQhrsJfw53vVwmlGyUp5FPzw603WS0kLp1vgVUYg3Q35tQkt/j1
f/FrqD/e48jdHPgdTKvYauF5UJn+eI/PEK/GcKnUI2XMC5uad5OtA0/yYZOv7t3Cvd+Zq+HsyxVa
o7vJf878+QtPdLvVdp9f1TcT68dv/O6xfvug7y6rM8ROJYihR+RfnryCp3/db8jnWjs+Te1mrWy4
zmtl1biAJ3z61YOvH4uXzz+FGOr95Lr/9ciLxefdp8Aeldlqw3V/mHaqz1Rr7Zws96JFRu5t7o3V
menlG+fIhHxbXBvbm8ALN9OWdc9dNgSpgb5yU8/xpLN+Sxz8ReSixA69O4RmRyydG2Pn7MoDGOfb
fH39+UfXfvVgfaigJbWNswr4wdFwS7dat6/VurpRvHqFrsMjJdCHfr0vN6eXM7/fGSsO7MkeEfE+
OUJsX9E5T92vweru80/1QWf0/Ub+84KaH3aHGHFtA7ppPkY7x41WyzbfBDcM2VOUxS7cfJd8Q5f8
oWO9VZ9opPmfv7+4fT/eVab+13P0YbVhqWGqU83TUV5K3xrHA6yI49AjOPr8fcSq8tn7fFh17NjW
hmHJoMmGZBONL/K0Hc0vs+bXMq7Rav35u/38p/7zW308TEo5i79RJ/0xIhRjDq6q8PL/9gYfznza
ZGemmXOASo2DmtAHdCzv83f4xQ9jiQfx3YOGLMsuUEvNx7I6tnm6rtSHpbd/8av86jp9WNxaJWuT
wUq64yR+Fax0zpSs/m/f48MN1pNq0aMrn4/jMK1i85inE2S10+dv8ou7y/qwKplBKM0059gNJhMZ
aOGnWXehkc9twahLRvU4hPEvLt1Pfx/jzTCGqQ/X4o+/D3RRDUxA1x/1/FuTwAQAs2tuPv9aP/15
3r3Hh4eGKNNWqiN9OhqI3ST5Ms9/0VX41Rt8WBLB4E1aUtbDUWbRphmdatkvLtPb/vjZg//hPoax
Y6tBxn3M2QCKc7gftjg93WW1b1aRH14ALfmF3/JDTvD3JfXPp98U3/rdo6PQ/1M6NWKPeqAxXLCq
noe8tzs+K2fLbnBPCxGXbN2GD/rStS8l9wp9H7v66bE+aXtO7YR1+HPnbotVtPnVx/vpRv5+yf14
58QNhJuAh065EBu55KLC1neFsnLTje7dF+4eZOThm/yFw1lzOx+wkPxi9RL6m09X4w+/O5QAM6qd
mVrCA77pERCKIsQ5ZN6VczTPtE3vParrwC3o2K7xf23slfSLFfpXH8H6sO9JExzQYqy6o3Rgnu/R
2Uy+klHqWYf+ddrCOj+zNujJv4WP2mrapBehl7x+/nS9Hbw+uTWtD/dJOmjoeQtuTbQ169oFmCSq
ul26uhl2026HYcpdjvAM70m18/J1tbFO0Lq83ic7w42esl+slG8Hs799nr8ed+PDJbElh9lQwZJS
+/rG3JiZN62X9XJGhp/7Eu5IqlnZu2pLU+9sWlm3vk11UPjdJl1fx54oEv4oDv5/z5NBtcYq9M+j
+9Vz9jwAoG5/ImDnhd/H9kLArhBNYyIywzSsc87+U/+GlZhJNk1zxUSrLjwyf/mFDZkXyaajKtqP
Rh3rN/w+TOyx/SCc1mXz34ztYfD88JALow557KDWTSIhVKjrH/oARWjDVhtshg9yFm4rUHoRTFu3
0cZDbw0zsSdqe4bbqwSJuaChnPoTZ2uocUX+pYH577VSC9E0MnxHYxQTjqaGlzOqV/DqeFoRQHlR
Z9M7qcXkcJzyU00CX2QwdSWPk6dWXg52oJ01hr61SwcKnRRtAJLeBxCTVwyXzpdmxuJRpsOWztk+
zImtSnVjv9gx2GndOjdV/TY0KkgRsX3pjFaK9S1GOd88IzEsaOeFd0Nu0HmKI0p0HMUr6JvnZmHd
T0EKD0fTHpysvDfpQjipcjZa4CSM/LyzkQk1Y3RbNAH8LSWHf00nb9GviiIhJll6VGlmhuQ+INKn
RdFUZ5VVPqBAPGpRnriRgcdvQkDLTfHcZUhfiwl7pGR1PkPUyMUzhwGzmWiDA03wbbuAQjQMRGgn
+UUzTuhsQm1bRgjaUF0fRxFIES6jsiFBdZ2YNWJypnrorIDiq8tJC8wXtatu0n5ejzbsMS0sTpNu
ruco38VqjonUak9mb91GdUAbRp8fzJiRXjwalcfQgpFlEZdrLZ5br1AtKJDLZTMV1lqJsv2kZK/R
ktf0WujLRg3nx0wNVmbpXFAZqsgwrO1kh9c1bFZ85syPafmZMxm60JjWsTXgE6pjP+6WxO+0btg0
vf0QmQAA+5qs7KyMN7jCCjfNyxe4IqWXdHhz1FphigPeRIYx2c1bUMGJSzjBl6bRXpl+vAKpDLdh
rR9DM9xNA73ImbgAP5kz/U4zUplseRuXQiAy2+p9bpi7zFDODbQfjR0i/85iElynid5AaM4b+81F
VBh954+DdBlX41dnScdmxQgiWclo6ZeaGbKFul6XapWghWrrmELDrTKMp81uo/ywt6qQ6JfN9Jw6
+g2psN7Q5r5MIxh/FkA1lP2lNmgreN3Dda0rtR874YRIEj8xOmYLuh32gC5jFqIZ2ZUzhB4kY+LH
8RIUjnkWDK0CH4WGMvIKnguLdFcbW8haEwNoYo7lNSz0bCXHS3+YcS0QIPGiCRtDh58BbZwsRu8N
pFu+S9SNeO4XVOk6OvpQXi5QflYig2widrc6BbgmolyWvUoYKUwcFVlhPnU4LNryMtZ1FA2YL4Dr
BLvJLI9TQI7xgEHDUcuvyDVxCGDdyPW8oh/bpp40SalXCYfHaAhfS82YJlqkDQL8ZHlShSWkOUsS
uuKjH5dEXdQBt8GQB8/zgpdEnevzQLhLCmwmU6VvCwU6/IwBRQrT17TnkVGLkntbDH0cLITCteJo
5DYPWXaDrfebI6wt4cR9B80dbVwR+jqBmRwtl84dwro4k9TJOFfwyUgxPOFpAPhiCxON5SwBkyKM
NRDXy1XYcPaNxuF8aFJ0ksKIkznxddRwNxt6qOyaLImYffCLTwEg0nReLlG8msRsQf9t84HiEseP
Vjc90EserGghNwRkw7gi6ylYD8TReSU6vy2JxJBKEZfO/K1eqy9ROB0ynEZyIKPwQciuqMM+ENJ2
7c1I376Z6qtJaR5Sx2hH3yRNMlm1fXLo+yGB10hFo+LRCKCcJ3FLMHIY6b8fGf6rCZRPa4LDa/MT
fIh4zfdyQLF+M+lF0jy17N+Bv+/LAdAdii6EdCbx5u/KAeM34igUpqHym21XoPW+y+H13wigwZ5k
GTAAmC//KxXfW7/gr+JS9DFNgG2OQ8yATEzUx3rbUqoQGfDCvBCSJg6PuMEPhr7Js2rd2ViD/Uzi
6rjGBgbAjeAzXdrnrd2L/NtYTR5jVemDiygoe6IEQJ3naA2SUfYryegt/EdNM54o54+VlsY3UjOq
NLO0xVon7dJe2lmUPJETsVzOxRyiqwhUxQ+RxiH1Kcos9lR9gXVat23o1WKITFqBlCfo5Dorax+R
3yVM+6ZsUYGKa71JhORaLaZY2ec59rHrkOAr0u3qIFH9rgwJOdVC2Yutgt7j0Jke5rRkI6Wk044i
oREYkOKPU72Qc2OCZR+w3CJrmc3F19qeseSsOqSIZr1m1ueVFUiLX+iV1MJ8W8zzfiYWyKvU0ryO
AUsJ/16VgNSY241SRWl3zSG6cXxTZE9NYOHUTW3xv+cQb9EyivTgqg5RaDFiLq1dDetC9t+q1f8e
UZkT2idlO7nh7fNPanZe9f0hBfNNWJusaMyW0NuKmvnPml3leTNkMU8nO0bkOf5Zszu/iYeXJ5Sn
25apz/96SO3fhBWeZg9RbzzZPL//AvKjipXg3cGcp9QiYe6NPsRHsPG//ti6IPspTEHd6xfpUlnz
bjFL7AhDpHXBhQqIPs/Bdkvq1g4EcbWPrmc91Ok76RWVXY/WLDBjd8zq1Ef7onutkctbeUS4Y08a
nO2hfObRRqtnxM+ovjh1a1HrNS1MSUwp7MkJQbnOHUeFzgf/ADLCbgkLmxfovw58cHz1AcyedHBH
KUe913SZF5ndoS8qB4lafD8o5iWCTY6uebOC/FUMZAvUIAIGOaelnZSXC14zwph31CjAKrLSZHqD
ls6pSfGOm+XZSZpLEwHPtodJjMlMPalyl533+lKu7dQosBBkpUcW0zctCJ/heHWrXLL8bn6lrja8
2SCYWSKBO8uL80nV76sixI5Iwb/lqJ+vOPxUkNpQ32olZ6HFdpqVMkwHxLSJrzbLK6r9NcIYIdzd
KLgD2qrctOgZm6b04DRj+0ENuWoG7bVj8pSOeOocWahVzwogtosBIqgPA3IfBUQJ0K0tiLdZVm0R
N/lTmdxk6Gm7rrisGvkQgcoN8ljwRfPLgZ+0FzRdeYqbYtNJir22zWqvkLuLjgNrqhWcyWKUO8QM
KyFVI0HV1OZSmSB5PyVNFqp+q5VhcQmVba42uYDWIciUH1jOUQSbQ/qCCBvsc0M4h9q/OG20tlRC
lUebf4778ZWqlX5pOzluPkzbbo6OegEKkcMduMgu+kbwTwPfYH4EkXXTLdMleuonrcENVC6P8ZA4
K9NoNd8K9a+xOqHyC+enLKqJSOgqa0UYC46/ZnANGZ+j0VwGaDssWHhnvVXfzDFfi/BRTMuhfRFM
LXjNaME3SFZQ1IFGTk3H78xZ3i4WWUal7gs2xNBliPAqUs2ZSx1T6EYE9MX7Jlg2zHERIudoRqQy
egnTGsleP8P7G3FSJ+xDqtQ+kgC4LXlsVoWNU8WekWVb7YKdFMaDYqa7adQDTLXSaQ6kh6aT92al
KRCUk1uoQKFvK4TrtWxjPM1AJSBTWCkOpq7cFxRobpQjChFT78hMv7VRd1Hl+vPQgu7OMJKmc3LE
XnuoNMJMOXEdijEjCU7ThlWCC7OJyCJPumHc1CTyuF1EfYkE57lI7cfFKv08M3ZyS38s1arrRTI5
gUb2JNzat5YUXU94w2VnfKCBHO+qyNktU30IQrs6BGX7YEIJZ6h/LZnmLtLsCwlVZ0SEeaUvxzxv
tmnJvbmYM2oJeEreoIZXwwBlm7STkLCQJokcP50cuIDDZD61Q7uL1KS/CmzIunGRrSHZH0zhY/pv
a3szY4ou8T9vbefl1/Ll7zubeNH3nQ0TiSjuHBtBBm0pMbj9c2cj+tjAvSFcFuZbIfl9Z9MVXmTh
OjHY9FB6MuT4o/rkXzBoEnrBbEPmJqRZ+S82NtEL+3Ffw7xCVLKjKNhCNfXjvlaXtd4RVhSdaky7
9rZOR+JUDOtCwUiPwjyURJGVVuXI+tJXi+wQ8GXpAa4LyABr0HdKdz0i03a+QVraknKvBc84zRJU
JGORSQeq55b8RbjnFJYL7LkT2MiYpPpaj6oBM6c64edcjIWU96x1Ap4sErAE4302CV/qYcqRHtDM
vUVnq4nraGshY8MWnhiCHEtK4bYGcJKsCkFFMusxay5CopNqDm7zaPmhTXySm9om4VhdL70a8N1/
Hwb9V9XR5/zk1vdes/85ls1P81t44ffbX4VDDrNRNpU/Er7f3f46USyo5Cn3/uAf/Xn7q7/JskzR
RxCv7gin1Pv7X+PoZSG4NTXjzcL8L+5/nqMfbn84kHSDoTfaJHvrusCgvJ9IIZxL2mwp1FMBrl9O
4zMrTFfa8Cut9u/P0V+nPL4JRzw6yA6dZ7TCf1NRS2z3ABfT8cSZMt11oWzrviEIgzGOj1INCZEa
LZj8XXnB+OesTqtbS0W0W0F9WI05bae0UVIsSMQ0ka4trzR8T65kVILd1DyMbYW32Y6ob0TsStRm
1xVvuFKr7FTKMbuBVRD/VquIDyXBRCcxhEgP+1DjnHYInFnB61s8ztBbTYNOBk59reoGIV7Qk7wW
UHtloe6yrXNHJyqOr/kQ6Vm5ott6TbfnSsqBJ0rGEc8QQUpjjDvVdnaNMxzHICcX1lFu2eEyVw4H
YgzF/tkP3aUhLetR7+8du3lVQ+spzOfHRvQ8ISlSnM3oIJvgYFp5vEYJtDWdAB8ouuWV1jS3pRlu
Y1sPV1kUHZgDfynGKF0PuVzhxYa2lJVT5UkQr92MrtNa6ZYnJc8BBOvwD23WLpTCdKE0rxY+JUu5
bVqyDPFNoImbr6y63xiOuqXNKRFQ0+Z8UC0GMVEQYaMaJNmRXZx3GDEs58npaDeSudXX0PPaXk9J
npM9JFJIWNtkQ6Pxmz3T+JVN41waeqqDgnycmhpbIY9WhWQ5zRT1Y6TE61TJTjXH8rWmjZsl18/D
EOR0p+gbZ+DaRiOxsZJJGGSFZawgggbiwhXk5NnTlvYuNiF+hK2DYLrLrtux32GrG7xGk1+YwqOC
H+e7LI6NzaQtFyr2bXJWYNY1S/NVydSv6phRO0/KFmz8DqaPQiE9bggSusxBzU9WaZ5ZGuxKMyte
lqR6iCx0zLlZ3lDCJp5eW+l27LWNZWGd0QIBcHYan1sMjIg+0r6ALf9cJDQC1ostQcQ2TJxKijyl
eP1mtQnbrT7WhSdb41qxRxEK0kz7LDNgWMykMgY0+XTt6yg7u9gAkrrQ83XxBQ93qaGJ6BLw82jl
Y1GZTkrspYm602haKqQAdaKjbdfPHMSulFR6BZyQujXFFWxFEVYz3CBm7GCWjF45psqO/EFid8bh
zG4410hYagi2IyekHWKCWMLx0Uys1p/C6jyM5WDVVhOHP5qKentWJaDBunY7jp2wsNCPZH8aEvmU
NOV5avLIakV6ohw8ZJK0WzLGyVEYRVibZvKghvirORJZmIyJ5k69chV15mYqu9eUIxr5uES3mNUD
mYSAhXaR3hzSTtqil32eEvlpMUgaJ/i7defsKcOBPbaE6PT7qhQ5khwRimalYh9Hva93dEA1f9T0
7QA9sVEijhpI1fEYJd1aVohxCgcdLxB8gakcvUBqQOOP1aZXiou5HB+bkuyDeNbvSGawzysp0eub
MiGwwNabYFtidc9+LzL/UVv4UZPFKipMVZxhmNxRTImm3Pvlum1JOQ1mcz5BhrVcfRPsp+vyHO62
Kz0X99Bhd4B83ODAMaL3ks2vpH5CEvPjIs7bk2mrUaupBsDfH9++CYhUkMx+OQ3WcxXsHBRSzvQk
YUN8t5Gefv+L78O2f/Y+KthiHAKAMuhr/Pg+TseeFU/DclLis2hq3Sx7dcKdkO9//j4/7n5iU3q7
nuyBqHzxOX+QsdSMU4xeiWTU24fGvKg0Guz6/efv8YY//njR3n+ZD2/SR7LcqhDpTsO6vYNW5A9b
+avt2eCgznPuMfeq8UHqrdXt7RHXvnsczuP1XesH/mWyH91t4zVnncf/0SvX/Me/+/zzqeJifvx8
Ol40S8MHyGz4w+fL+gXeyCwrJ9LSjsGl7Mvnyn24V5nSrOCku/tHZTOtjvV63GKVyA90KC6h9q+h
CK7ePsp/haTBDf7PZ6jH/stPmoPiNX/WkGDn2MEp0oTljVPKuxpS+Y3GvYwJjjn771P77wN9h3+B
fkPj7q23/76DT3NQUG4w9bOc2KLb+C9qSLDiP9xCb81BTGamrlOWMhIQxLz3y1LW0X+Yykm+6JLy
IXAKY2OmGmcfLLkkaCrVpYGRSyQqOMcpxU5clrgpulbfN4L2NBYTOfG6Ay2tAVkJogLP62huBpBe
mT1V580irapB1vElv7CVyURXjKB4IUEv5rhzAptxb8XAMA43fRvAh3HI9rVG/XYsmq0eR8VNHYZA
oqvqxWRIXPbVbaPo1UrHbuGaYf2SzSLZttULtx7H7UQg6yqEBFxcypq9URJdP0maeQjMkT7PyGaX
jxJKa0V4yrKaBkz3bPXhS5ATcArkRvbDuap3duHkbl1KVwzis5MDLsDNzchx8XVhEp8tywtgdq9C
4HWETc2naCLHq3G0r21sXgIUPdodZSKN+4dY1W660qGaS9RXytrJh+Z52wyFH4Ph6E0J7vWibIlD
+AoYBdJpFDE1mC4LORGGxce8CA/J4twoSWW5xgJCq1Hlm8pKVCBc+r6Lqm6VkRBHx9N4nvsWLIHV
PtgjbOgW34tbG6Y36vLJznQFV318GTuD4ko5Pr79PFM7w+j9Jotmm1kcAdwcBjLxdlrSXvUmldhk
ULctTd6uLBOkpwm4DwywZy1U1bUkcVQtHBXPtNNlLcGvZZOT7UYQoSMiCbOCcfpgJjulqB3UchTK
9UCg6UIan9SnsrvExosjYg7rWf2WlcZMDu5bCGKiOsdMBCMWBU6/IGXwi1ciXRdZUe1J8L2IRKSi
TLbiKEIWieCUMUmWgAp0zW2Vct836rHC7LzqtYUYnlinVBPBjYqBv0hEOQ5K/2SS7UjuX79qepx+
akQqs6DjtSEXN6PUc8n6ubNiUpeC8guYVaoHTd/rhXSpiDzJCBcu+ZJ9PdlMYSHFyV2j7UxSKCsz
30+dgU1Ku5iV9ELXwMI5mWO6MgmWMkmWRo4MphPhlpFk3TZdiJWa3MugUrFh2hjT61rMb2X5Kicl
k0PJpk6Tq5j0TLPPHqESfDFErKaSQiqfSdq0m7T3GnPEkEcKpwGmlrmytB8yDdGXiOrsRWgnWUJn
cq28QJwjzpNcz0pTkegqaNbbRSPncMHJjGs4DRaZsCMZFcn4JeJa+6Y4mRVmXHPeqx60ojp3QFOZ
drlOIq3FMBu8dPK4thoovFI21ivq7XKVJj025LQGjY3HvZiNr91IrlINdC63k7M6aFSyM/N0BZkC
U2f7ZCf1AcrVrZIudwqWeD4fNCUI1M7ogOAvUMCovRcuw4hfM8X7g/CgX+Sr1tGe5s6paJ+InvYk
TXsmc9IOOmvDvCA+G9L6GivOa1SlV7ZZEJKMzAC8rSYyvS3+ytJExjYneBoSBuWXJmW7PFcvE1kt
XFpaJk7QdnGl0kpXKLTRUtqk8HHuuyAIheSascyI2MuweIaEMKoycV+G/GIvyh/K5//2WVEo/vM+
62f/45UN/Ne/9yvFC79vtvQrRUOQRA2dE6pq0xJ5169UKJVoSKom+FUBef1rs6VXQ6Ycyi/RrhHz
u+/jchsanUqXEbCcUOP9O/UcGNqPm63N3+EEQNoGNSt/98fNtg6DyZCUAf6rXt6NAgA5wJ+RaDG5
VtI2J2kRmEgOpQ+GzsLuGFkNL0Wy8CESeNtKQ7HHaNYDiuEsJMOfRCZjQbKx8feDf1kvOtmyebzQ
Bm3IwO30vvTrwBlWTMFHpDLLdS9QlzgNImYO1q0DBZPTGxliC5wEC0ImhXe4bWBmdvF0HxCJDRy+
um7KCPIoMURbRQ5fiDa6mTT5QHDqsZQjHkEB5ZSbRFnPBiEiECDOMpasWSA8S1ieKKweg07dd2bV
HiJKA3kIs3VYm/jFR1N2zcn4YjaptAWqgUZoMuY1GRyvZmm+omZIPPJUyS2ALupM2kOhlsW+6rPS
BTLwrA7RZSSQpHzMF6fIL1JM5thCrJUUmWV5NzGT8SnxNymL+MaAFE085josiZEMUAMtRv5qZoo/
Cap0mVUbHc601YxXI77KLckCNkMrI/TTcVm8JJZMv5emCwuevxvDro5hWA8CZq2ryhuSp8SgDOoa
StYG1MtOM7unXMCwaw0sdg8fexGgbFue7+wMn+tpasfwrOqmhfBPjp7OWSRV35Y+ElXGkPht0uuM
PAFN60s2bfIYDWMdJw78rjm61FL1liBMcKEzs02VTK0lTLXHRbZc3O6O09/0ZhYeGQxW+0XO0QtE
UrqtjJIEe/lKQbvFYd5Ga4CIz03l+E6I+zBy4wjRJARFWoh7tjJh2BllxzFVKk9hEpBqRHQegpAb
SwLUOyZAdnsakJm51/uCSzznXpBM95URf7W0/CyQ8PIWSo1UHse7a0n9s563SLh07VFSsyfaWKBL
QmszOzoWqijZqjLSQKtsvalfgMVolHaLvZ6L1Juw7RdZemYGFhl1dPvteb7Ol+KbnJU2OSy26WLj
Jh41ZUMdpOQFO/aDQarGHE1XWdSdzYN0g2L0qeNYSjMOo2IvHUDOHGUtuJ2K5DCPOb9WoN6FOYPF
qAlugsk6dAlXqFJDfa1V9IdS2zkWqv4YWOMtUl0gbCGowAlkmmvF8hcSNq7GBodX1azVQCCSreFi
VPQrbea75BRhTavsTBtXiW3vQ9CIvYlhWTK+hHN3J9qCYWEQ/WyImMWt1uRwO9h503Z+MHrb3iSh
lLtpzKiYZY45Ry3BL5xL+CsTmQqIcB6aNt9rDt5wTd1F8nLXF2QpD7A9VrU27qrGiFfcsKRKS9kV
0ctfKi0npzXFz7+Y9kbtUMkQpmr7Qccur0bUD6XDIFpHXJpUebJDnbKaWvC1KtnSYsVllVJK8uGG
UwnNwFXrTl73w3wZyoB7FSazMpeANelSm83zpHdeOIqIqah5q5r6uabXyUrrZyJ65yrySrHENdEC
o16+Vp1inVkR8s6qhRVFzrejGNk2RxOpZB0a17wzV0h57vslvFZk/YuVMxwPVfs8HaJgE4aShF4o
u1IsrSHjGs7grFpf1BikAxhLSgCz8mcNZkEeq7oYQ69T4mjhOQbXSb3gom+UmyIe4DqhRXipIulo
lsOAl541Io7vx2i4IKxwmxv2t4VWk98h+yXnWSZ3u66UVdwaEjKGdsnvcwLNw/MFEyshdUPp64px
MOzmxhE82kaQaZelfCqX2EFuO2huB742GABcWkP7xewk8r365gQs7BiBvNVA304gcBXBwtWKZo+Q
yU8ZH/l9Z1yCvj3vHal1TUHSTUDq2qB1Zakh2F3Qdo0RkTKSzxsNEG8cyPsMMG8iCL0prBA+zfLg
CHhvPd/lxngJY+rE/cBFAPObg/tdDISGnUgMH2Roo4IJLKAxBZBgxWz3MtBgXZ5uCxRbATBhE6hw
5XBGs/kvk+ANg16k/SkYxI4ZqyQy48ouZLUjpYQDS1xtC9DFjWAYW8CMw8QkkEDwjQ1BOgZ3jC+h
SnaLoCBL6bgr3rjIgpBMqry6A7wYe47gJ5eCpJzKDQoWQVcOCYYkzD75vRn1X1WmfFqVnZXt//y/
InzNXtu/12XipX/WZcgY6WaQFsHAWJOFr+17XabQz0DnDLMXxRMVG+Kk73WZ/ptNr9Jk9sZZnYna
OxkjsiqaD6ZsGCqwQsH5/xdNkI9VGdWgjEhKxpIN8sSSxb+/s3YltoWWp3CSY5/7i2GxA270+v5d
ufqTtujHKRpoGN6F5iuNOny5NuO/H9+lJg4bsaKRHLsyiTOvtOWCBKhmtleBpqZ+orWom2ZVYYxn
c25lI1xlS3AYoA1fyVV0mcWszEYUn42yjApYkQyWf7KuQBJi3A6xD6n5rh+i83iAvNsrZ/IyXraz
el4v5WFqtAvEmXs5IUQ4J/vDTeTaWVszFgM6wzPSHecrI44RMivAoaTjfJ9l/bcY4aSLIBibMh1k
ytSA1xPQ67jzhMBlP0oL1uJxsrxOIuA9cQAssGuX7FZdIa8aVb8L6H9trMzQnlQOva6kyZBE5DQC
89PXVebDwkphhyizN4t0FdiAVUDLQCs6C3YDbKW5naeN1UONnQjTAN2tVZp9t6g1sfXAzTaNtJjG
RilHpNmUwcAwcZMYeTcTmEC5fcHkUDrn7xOTGbO+YRI7lFKxsUs99mhE0bwQitXGsqH7Znq676fa
tE+8X6s9GXNotQd1LofSC2ftqmRoP50iujHsJbNzcBrT2g8EojwyRNbvB4sYBDubl2u9K3p9Z5eU
o5DYRL6wHQ0oguSxdW5LAr9cE/mnL4HF8dRqilARgSCh1zXvBtUYwPz0CNC45mdFsLTPLeDeaSa0
a57oqTh1vJOYUfhIhpnrUWleLUO/T2QY6U6pOFchdTh4wSgmVsyJ1mWVy6sp1b2hxAtXx/fE2w5n
/HSDZ9bx4jddoXotJR1y2CnemxSgPkjcZQNWRVkVTqAfW7hYzLnqdmNqw3bUiZGNJrW9BMKk+LaU
n6PPQd3eYnfHTaOXxs6OejzwZrYtSYDxQk0+tc54DdJtuA2Hyf5WAoxrmTaZ42R+K+PeM4ilTYNa
uZGlfh2aHaVfmfqOlBOEC4cLw4gLm+lr23avOMxf52S+q8HuNNqwd+BjsoCQMLFs9Ek+n+3B05xu
iwL6jJO9FzbDF9noz+tcWmdA5LUG8Fc/vxRkD4fl/7J3Hs2RI2e3/i93DwW8WdxNFcqy6D03CFog
4X0i8evvg56vNd2tUSt0v+1EKEZScMgiy2S+5pznvEf6YITSza3dtODvM2d8dlzxls+ujRw+647o
pWKW3PPJLNjKxea5Ww8hM7bnmpev64lGw8+xIahjS+GxH/T5eYq6TVzQGTR6s0JVSBXUlfohdYw0
NCABM/q94m+8gVsHUkrMcQifo1vboy7OE5v4VwiY131edoxL4NyYE2/m3tjlzYTkMfJ4lxXqLOBD
pAMPMoFzTb5/8glXtKfqEaneOnO828GMr8umPnn8/xFsaTGM10kgjjlhhJhQxCaOoQ8rLBKgbRCV
tcxssCpcZFr2UmXGC2KYo+iI2smBeQ7GNXaiMDfLsIKm5tjpuskbdTZ73h4CAmCVRL03QKAGXFlB
S/IXobFEksmjX80KShf5CL1ffRQq8hCVMctRMZWaM1nZrgnqHeQv7WZWWrP9/ckLdYWT9c8tybeT
F408YiQCIviq/8v5niiDfsPNxUXVZOYG2L/aYFXLQjbq+akvLJJ7xoieEOcTiYufRt10102T6Xf+
zNq/mqaboU1P+hSFWeA96lO/axL3q8zSGH4zbCCaInpYhaFz5j2dL/6hyOlgJZO8ZjejGXp+vx+r
6q315mEt0u7B9BIkpUZPDasTh5yT2dusu+lg1Bn0C4hCRtruTKrpHCMdoQUfKi9uBy89DlF2Nnf5
sRnMk1dXpJGbwa4nUynslNibU+KsWfKu3Ugj8dVOdzHPTtjp3Y2tBmNdJ+5RTwI+10jZT1EPdjxt
p3vAmMSeuAxzTWVe2oIleeO6pNuJ7Hys54ukSw+ZdHaOBJ0mmG9G3zjjPkUVGdRbWsWNE9enPC5A
rpWQ4XN5RpbUnnuNhqiuGAIoFgdpe0n28g3yMMgdUKtDt9QAQtbMytr2SljEKBcz4r+2Te9tZSPZ
nMQrs54zAZ4eU1uNZHLeZlnzkTU6snjoabbxTFB2WFi0AIG9R0B8bnXI3oJlzkkfAmf2I4KWRu/W
rFym46ssL9iP18tZ1p+E5z6Zes5OmbA6X8ueVWEaSFVVtrGT+NKaHSMsF0cd6Hp/bxbp8FAhbTgT
omnP80oWh9+/VRdv8C9vVJdNpk+yAGQYFHQ/lwjpjI+vReB7EYEutdJjy3T294+wLJn/fAR+JHI8
g20Tqx56S3+xmvxY6ljuXDoYeOKL3MVc5l6KQexFfUOqAe8EJqdusw3Sze8fk8Xvf3jU5e/+ocAa
6qyvbUvTznUFv8U0QerxP7gVn2Kb2iMJSpBMvgME1zqMQ5khzelxSJUQBHVTVOuynZ8qzTuJ3tbX
XZFs80Aab35ie2Ghp/cumZMh8KEzL7efXeJHj0bOiol3U1lthtkrN36tgXmuRxQvpVKHYfKst6pE
KmDPsISFEO8579VNo5Ouwgmswp5ckjW5rrfQWucd5+H9EI/mgWy2q0T1Hym0aC6lu65tt24nkXg4
6d7SE22T6lQouSzLHWGM+ropXNCj0kEZKKabZcVQCtLLGyt2V06gznjTAyqVBAPVAn0IYghp301z
+mjr2dHpK5IFMoo1EWHRS3u0UC4KnGxOCV1vwlJFZkiOJIyqKOOU1R9HwtnopQoYztOubGEYRjPv
YPJH+xh+JMGdVcrYu55TP2zz6LxGAxSTKWtUBOz58XSLKYYCrtbuhh5kvWXhQ5y9fqfVDJ5YoLyy
cSN4orhu8Oq0yCjZWhyJyyF6wLH2XgmHtzaM+1Il+ymaAPi3w0XtckemtXNoW/vTb3TU6UzVGsfe
xbV98uR/crx/E1L87j1OR/Hju03alBgmcs3z9FRexRfallDbB/RIB1RYJ5+rZ/1uypVzNM7LF/kf
MBHfCIn/+uAsdA2XREOsUT8/OGYdHym1rZ2TkboqT+a63qIRNc60R2/Lev7+UlufHscN6pPxlX/k
F8QSro5iG11YLOb/w2/z88X3x6fdQiiBaduljfpV86F0WdiGkSYXyCRqKBxCf2zH/e8/3T+fWf/6
GL+oENkNklCQ5AmX62fcoui6/v3P/8u/gXw2z2PXvSzQf35Ci8mdNaZfXN7aVcOArXWoOf84of5u
33UWDP9+qbJtP7vyrzYqfNc/O3eCPmmzfeQLv3buoApQIqD/1l3a52/t+ffO3SPZHK4ZUspF5fpt
2fJ9o+L8Az0thBu0438IGP6bzt3zlpf/z8/b4kAkvSQg1A/7IQIY65fPW1bkRjD1kXeBt+MY981Y
nvfSVAAei7GuK47bYd75sgMCnhTx9FCRTqHCKiBtmKlu8jxZ3W2RNCpMOu4d2Q+7RsYhcjUEfDpd
UWXk7qoK0jdrIctapSM2SgNdWc7OhRGg8mYl/kwlcFMW2aMcKiO77r06uc0yQYbOhI8vQmlA3xvr
QrvIotKXq2ZsNm2hxc+q7pOrKEqEe5XkyrtySh9Noo3/h/YQekEVOlGhl3eup1nbiDGj3HS03f1l
o3WJeBiYo49kyMnHzAwSNrpZtRdJmiom6O25TO2jHJwbJ7ZVGHnlgz7nd4Mt2PMm9bu54BDcZHgr
+llwlENeNay3pITX22r2hTuYEA6mhyERztpin6ONWqgVTPDihQJg15CjfSXxJpfsTA07ecR07iOn
zPBlO7eZLy9TzvxQaeKDCc5dMdifuk3H0RU8KY7fX3ug16nwCCGQ/PyVCVj+RZGjDPJa7PUZKWOz
KFKL3L/DzmhuqxJ1RGktcO/U3CdkoJbj2IaFFAcrIeTAKRJvVVJhkxOXlRvonzlzP3W0avM6Mgm4
nq0ERoJt7qsMPabp024HajIPagSlTh/+oVdB6A9dsdYiB6Kp1+2KMniFZHrmBt5ZZ+HqEr6Gcn8O
biGtj+sg6bZTpH04wbzN9elA0OpF3Lo1jNA2rNvZ3YMMA9sX1V99hYDRFZIEF614l0nA3ajKJ97S
Pd3b6O3dZXPH2+sai3+PWKa66J1UY+0TXeUBauOYVLg4MW6iWkPaxUCc2UbrrFNnRJrBzDxxqqch
pd6u4v7Y8wr23bB1iGPfTQ5gDVdvqs1cguAd1eXUOI9G118EvbhL+ypbC717KOLkJrGZGNT6AObf
1Q7MXK3VmLQ3yovudAntuQEKC6q3DpVBPxwICiWjja6GaAa7GmkHa9Le20ZLQt2us51yaItmI8jX
ciCDO3a6HcM30K+2mo9VzepcVcBWfUeu66G01nRjSy6WPAGp+MhzcRSDz1ymE+fEy5B7TSegqsHY
6UEOPTpuMGDYRWgb6Wur13Krgv4yaO2nUUv0NR/1cZWqggz7gQBtRZ+PEeRmmMndIVJi5plZed5E
f1bSnvTZeG/KudxrNu9OmnW56nLxmStzZrbtPTnSuTWR+h7GKkOc3ZoHBopA1Gm5k1EDo0DA3Fov
bHsrm/RSxC4xw9lNkY8XccJ7WyYeGZ1pRgZScGXGJQTjnHWgrAnbRiSsVk3p3kmDCHG91b8i037R
rfydYeKhkRZj+rhnHaiZn3anPXSUnuuiKB4K2ZsbMxhulWIuINziuVL2maNVyqGXUXAsj549uddW
6hPeLTod7n3SvFmS9t10GH8sEZiD05y72tRv5ozl6Di/tZb53NCc7AMd51odeFfzMJah3yfQKlqX
9Rp+OwZm6p0UPbzLXn+blPC7/VrP90qv1GrwspSz1nqBt3/bF71PSoYPPGOIZNgyVKMURJZTCh0g
INF7iJ8/xxlDeOmwGErNMRyjyttnWRmsR81GWgHLflXoLFylLd9RoIPX6kgl1iPpXIjJAajUNcCo
NTNBHNLcyJL9g/LBphjzuMkEMVJE05MbaalQOClTxjSpzwtPHlQRvYDNxbCq2cXG9BiqTBbv1rpN
312MPCvmkPPGKRkN2JaCF902h6q2txkdIYRlN9/6PntbzsN5V6bNS+s727LVdrGMdhUbt+tEEy4I
YsGwtJPonsgp2E5aiWmSDNhrtzTrrdcYhya2TqknAMMUqb9jzU22qefr62hU6pgMw9LupluEXtbR
rC0YLjUEjmyKy31SlvP9LAteG6m0rQMCZ6Wxm1vF9Korpx8PVsF80zB8XIrOeBbnwTEK5jNNzAUg
Z9aTUQa2pYCnmXi3vua5p7ljUZsMAGdY310R8HFXmujzl2SaLbGhYjUkWgs9uX+HUz6iirP93eTj
81AGpGiERRS7eXLVC2wpqIjCrBLjrq7nM9zGJ8JQQxyTV8wJs42VNqgBkRishNdekL/27sMIyrsI
PYEXsGV2NYckWYfkSV9tIjdGnT032DB0+WAM2WuVaVd5K24zkk9pE3V3k7YGAjK7/swxc8aFbm97
HFxhK2x+pGBuJXNSYQTL03Ggxw4G+DWGPoayaSNGNtlZCe55n05p/NAkOQGm0bPLLnRl8tH1coh8
Rf/sWNrKSfqL+ptpoC/eIzYUGyNAwR8U+cNQ+VhiaPFWpqZdzzrSRi0X50btRASeZmd5SyVic6c6
2sgBZhifE9Yzb4hOfqSKHa3nEQ9uEDaZtkqd8rFQ7cVUokFyVVGs2tRe84Iem844c/LiQ6v9Lzmx
/XURQJSNto+69BOPzLYbqn7XefWmq/mqrLQHPdVPc3xW0N61gwfOJXsNhvQt6Th8R02n+/cOgwBM
4/R+vO7c9jh3ksVrxstTsGhPUW5MM+9nWMxstU370yJgnb7XuxVpzL/MAT4SECfa3FjZZF8DSiIb
jsrthQrsIKZq21DpYO1wj7NTkeBB5KDbQBsL5KNh8cPrqVrJKD3LEJ3srKJ/twE/xR7Sxhq0iu4V
4GXKB8PiwgtgMDiEorAxsFClivtWSrbJHdncWt1c1SI4KRbvIaiFmwFuBOIax8A8U+yGCtjDaIJW
MGQBvJ7YmY4E9a2I+OiUMz4YqFS3xdjwp/mg2RPqTgb6YoM5cKke2oNnJUep0q/EcMQ2lj4Cv3RX
zbsOGarp71pVhsZ0Yph0l+QjzijbLtaMpndpOhI57FHIWPObhdrUlfGb74qTbQ6YiSM94cVqXknF
HVeTKVOHi3hsz/j43MUKVQzr1wej9tiBLLrEduMTk5fvzSo/jH0WRr5VX5duW5BNWwoXHo7tGBq5
Q1XF5J+QofaINUYWyFYk7P1tlY+aula8OqXuCC20I0wW8exJNgZBdqwIBl5NmcanTWt3cwDIs620
realMAEyTW6FXYU2yRFhNKIa9g1gFv7YsL6PjQ0Lq3urLW+l7WJ1t+yvJm0fSYYh7IDCS4sEeF8n
OCSe/VqX09UkAqzMHgb4RPTFmrqrW4Pab1aOXJSq6Bq4ThR1oc7F1nGl8fotrx21OaJGRnzJqUES
TKCQHU69dzH24pLYqJNBxhlZBemrEaiwC+yTMSuqm6p+425RUADydVb6950QyGgH/XOOCGaZUx3A
1ujv7XG4AkGWUORh+qaVWFHXyNCNyo9WFiiYEw3QUzVvG3IZ7Sa/MeGGs7Ia105RoXAuolNAgJin
HC47p+v2A0MS7jcekHTndWbnHbMT3E3d7K7mOt3VJtUuosaXrBFrO7nMCFpKGY7JyToQ00g2rk+y
RlcuEQj9ZeGkH7VCGxsbMNcU3XGsXzBQ2hIHeGGbly5KGw01Z9tq8XHUq8dMxoc+Ec+919/XAXOl
BZbut7vJ9RYS+pq690I15ouojT2AUE7GIj7MypsP6ZC/8AveJ8tm3qMW3CR9Lc44FV5spJCPxcxa
qmrSsynJGEOPabVWxXwuRwXzyjWe6lHH3pNd46l9zWofjltHnJIKnnOnOgkreSwkEqZvfezfDb1O
f/vvG/pd/ln+BVBo+abv/bxp/MNn9kv8fACO5Ftn/n0Tb5r/WKbO/MdgrY6E8s9NPLJKXYc28F0i
yZe+9/PBPywM4nzNDAzdwNv03/Tz+A5+7eeRCSC15Gf6Psk3/LifhncAbzxzGvzg0ixa9smOMde7
9ht/wtIYxYPmL7roBclRe219o1UUC7hihmDhpsGpLYOM6yJ7y9AJKYqF0QTwr2wbYQgDMAJuW2s+
lBMZV8MYXNOmfuWwMtbwIrgOzZ3mmTgQBb1Ks9NjEKUl90ut7TWRvzntRIhoWp3iVF5n5mIT7Vs2
i+4ep8Zep91dWcRuiYAoApFCHTeCC5MKSJg6V3Di5NuB7bYyxnZVasZbWhirqRkZi/reU217B4b/
75yH59BDcoJ3IHE8B2Db+ojdO5q9T5QCYYZ4kSV7rzgNq+aSIecW5xzi/9HYN311Nma0pbLXwUBY
WgtuxSsPaCv4a0syaLpqfmRicI4suaAfAc3bZvgWTEYCiY0A2xribZvhXzfa2Nuk0nj1Myx6HSbM
xkbkb1TDczFFL0OaUvVXl5NCmKgVkbMtOrNGvlMepCD7PBAsWgxMiKEu7XFVFX61IxfOCul9CxY1
AS5DdV042aGDh7iC8fChitFf6XguuWcitJEY96xYvcKfIejdML56Uzsa43AgNPKElR5PQEBhNkJS
Y8oyyFPVsldVNt355PYnogA/C62UT7yeZ73zMhfuOXypNVy3q7xJ8TpEt5KAdHiNbPlDvHoNMSYm
2+BNSY5WvKpz0uCgr6HQb8BYE/GTdwx1186Y7AR5v+jXYywNJkiMo5dV4w7fQHXgean1ja2LepdE
fnAbZUgm1rkyiEFsKsYBo6PsXd06dh4S8BvvyJEliNgrW5Z5qC0e/cr193hK9Ke/j0MabAfow++O
w9vX9/a1+Cz7v5hxLt/5w5mIzYrZg2d6TBARef9TnbQcl8jCGVb+8RW+6/uM0/8HiiVSREyL/6LO
ZWj6/Uz0YbguvCV2zSAeOFH/mzORSNZfz0Rm397y2zm6bZtM838+E610LLu5muTllNMW2oMgE24k
863GsFp4U7/ttIwCgUHP+CzT4qyGtYPrAx0fFE2xjqCEhQwejZs4djdkIxdcv2QDuUwkz/R+fnUi
c0Zw0n9Kt+k2XkqiTJ1Ht9aguefsaRMKIqvZ1szqLhjQb9I4eegZRUoqza0I/GOBtNtuja9sUg8y
KZg7ZJdN3oZYRPcBA8lVkALNEAXrpzQ34tWsEExMut2t44BELm6Bz9TD8eVqL9mofcoxaUhVxwc2
ScUEtSo+CFGNOfI0nNDjwMwJBpHMZLkaA3D/iU34A3pSIvpGsIwDS+pBVQ9JUV2bLoaZijLJU/aw
bgbSIQG5DTG+5wPMnRuKt3Oukc+Z7C5VXrlGLWkAMhL/3O08pY8FfUCEtyUpnbsRNs9KT79UDBhL
5Oa13yq18rGfbMa4u6+03lypoV8Cm5J8O/U5DqkAdX/r0lAwwgl7bG37zteRuuJt2ugl+e1zBRu3
EOjkuygNNloPEMvuiSrHi70qNKDZg5bekJJmhpOJ5D1VNjmTAgu9U2nWedtkgpghUqgy2vnjrLU3
VTcRvqZV+o4I8QNGZIFCphdbUp2c/RBhA3oovwlRzUWTmnaLPDX/JlXNoUxOlgtXaxJyw574q0PY
OiFwTfqFW1B0vXfeR30XvLTOLD6KvIL6EBh5sCeRhfjDzjUuPR3KbbckxcdLZny9pMcXsynufQLl
W0wFlM7ExS5Z886SOi+X/HmtJoneJJI+KNHMFw5nZDTscmYOew7/e20gx35gBEQK01ziLSTlHvtO
s/I6s7zslnZZ57lkl3o+JapidymAF9hetWYIPF2VChGzP8iaxPvxrWNScOZl5ohoOPkE2kVygK10
sKrGheZXUb/SWdgVGg2jF/TDvkUhtjdbN79t3Ca/HCuvvMtM1bPoFMl6tOu7yu+Bb7mYCQawoLFw
9pNbMuhF+M6gZKiIuFeXsg+itWYRG1xkVbBxhCnPergjWyWQ0fWKGjmq100iH3yFvdEqdcUot07D
2KZZMSdbO2haIF+yVEoa1SYKhd+X4Kiq7D2zHJjKg2xW8I+PmUym/Tij3iY+dgm+nGuGKdjFrqVl
RCfCff1zf1QXnesBw8g13OgVI132JRDLdX8Ke9rFc82fifs18JHhWZz/3rf9kd5toHz49+U5eLm3
Kv/ouXnKXvTq8PF//8+f3/fP24igbTZqqGFxMqEW5cr5Z4Vuwwx0DGe5+bheFn3I/9xGkJVslmAo
nHD4eqhoWaP+z21kQxTXDdP2/tzT/S+0sjb3nQ8TyrAD8DewC3++i/pBSawZjrwiCjbm/a04cHY/
PClXfyzvfiQI/EGu+XOpx1+BT4tNQOBCZXZx+P+iUjGQqadp1tVXloTv0nFDdBAdEssskV/obUM9
WrlTdj1XwvUvkiTxnqhYzeza1x21TvRiMo+mW6Ooqg5NMp1ElONgFETOGgyoZ2utVH4VOVqYV9pB
dcFea6rbXgduoRJjMzfezSS6faQwMyZEwpWiN0LHbo5aLS81P3vLVfaqRVE41PUhzdMnrDqMl0Ry
GfecNGZ+8BIwT8bUfjFr29VkuqJUtb2daLiFNNgSq96R+2Zk5oGo696DXWV1a/68p9jVDzpymJXF
cd5M5SdcKRS6k43Hp/iMSNdG+Ff3uDyJD2u6dgvbDiGXJ0O/XLT90qRZ8PS3JXzZsokPN+zybjTi
Y2Sa9+1EtWmK/jErSDBJlHzvXPuo7LbcNml9XiYTtsrGs0JHRM46qtrbVpQouOyqxxZtnRcxrrO+
s65zCd8PxemTllrbWXrThn6ywAXaf6VewzZAmNXKa6qrsrLPPNnam5pKZJVnTbp3deIzmWXH6ykd
cEHXJtLI0SdVup4fjaJim8cirxq0G0dquGXM/E4WweJFz561prVXpqwPgdGnF3kvDeyz2bHTRL3S
jYZEYz8+xf078SPbYGBWWUhzbU8NE8O8fIxmfL9R47MAiY1j6w9t2I/ejrDqd1LmCMRQLQx7+93v
iiT0U/HlF4xzYtufw6YPuDzcL1vINfngn6JhaWV0RAqaqEsNDMBVXFyNZvdmpCmy5yWDGBTRgRxT
NlRjvxX+4nWjklvbXS83tqYTWVwOV3g07pEPd2st7w+JRVnALvU2nvomrAg1WpcRThw4uJQY3gZb
O/sQP701gfnhbmFEF4yPmc4ESSj3K02DF8dATphImCgWbn3SfJPsvCzydh2nglvF0e9j1dyWtlMf
k4y0+hwre1Ih+zam6WVMMbDWsoEQLnk+PG9+ztwIPg795JiWn7Yh3e3Y6vdZnDM3g109ab7ApdOz
T9G+es1/1ri9kJAna9JS2JJPEb6hjTe7FQxdS2WH+htZRdotSdNL+RqAaGrunFgSIOqSr1ljFL7P
QCYcHOqvK9eSd01j0hPVnzDSDiKrEbxX9YfRN6xJWZrgdmG7k0l4oa1ANmX3Ye5GORPshzLYTDuV
qPRUVMxPNe2mHdJg6XzJew+jAvjmCFJA86YqbIO6Wne543CF5uvYqqHWWOc2rFNmAySGeN265rO5
UM4vusp7SnznU+iwDzjWGra0xrYgqnNMUHT59usiMUcrCUJ+eI4HKjbOnJu2NDaA128qwzpIpK5K
eaGrxQ9mRoC876A00M8CGV8hELxSRXI+d/12ZuFKyfbB8JAYay8Ns67PNkWkrTOA6F7XIuBk69TW
44UHvJFykMhYnIps7eWqChgbp77G7lC7VH37UIgg20Rm99n1ydZspket+3QG3omj620tO/WKdQQt
EutgJBmqpIPStI0+Ku/BQ7G9axrs2mkM/97x676+yCzrqahs2Opzg6C2jPV1nnJurbLKrnEZOLO1
61XVrv2cOYFvFQ8ZscJtL5+kzB+6RnvGk2hd64MzX3HhNds2b14b0zgkrfUxRf5lM6sLXPNxWBZs
VRx2UKFo0PBpaS62xVwEd3i41XlcJLcijt/YfmtrmQ35WcvgkuEH8tqIOmpt98lzafIqyuSOaLQ0
DCztOIzd02BUM2svq9hGCySp5vdbjYK7Zx1knAGDlrthBznwUut97c5NWSEqFUh6CNgXfMq7xyjo
Bgp2r9jzafbDJu9D2x3HPdpeuWNTUlE2V2onS51aMQdoG/dskFkJOXuZB8ae2coVAQ03nZ0sw9Jd
Oi4DEy16FxWahtk17hj9PLXGdBs7rXsI7OGpwmy+IoA1uvj9tbuIS3+5dOFGAX4H6Q2veBka/iib
c/OhxtTSDFeVDwTeuEz9O5ff2mF6RTjm7x/rF1EXFzyTR3pFA2CChxho6Xh/EIR2XTX1puzklR9t
ouyhUaRIP/zvHmL5FX54CHjFeS6HXF7VfDAVFupkfLHr2/+PBwkYfHpUbFAof3mQLsmyKS2lvLLa
u4YAHe1CGw+/f4h/fVl4qn54iF/4LD0bxdiwJ3ll+7dFs50LKMrysvReU/UfHmkZI/z8Bvj5kZbf
5IdnLE9Gp3BJeLhqiG4ySqQT5nEoGORvxuI4k6X0+z9s+cV/fTjwiI6N4ccCgf3LVKOP02lue0My
kXsylqBc9y5OzlTx9O1h/l4FGCgt/32vgVPhsxWv+V/0Gnzf917DoKFYaGRYZr9N/Pkcfu81DPcf
Bp4lj8PgW3AQ3/V98kWDYlmeTvHPN3qBy0nxffJlElcAYRzwJV0Cu///Kl7gL5wblmOjB198c6wE
AG3+/JbEJdGWk9ao88lCcbalHfU94PnASL70GSk7pVav99zuFuqgeV+52TIViqaUE8y1s5vIZGfn
48hljjB6amW55nuss2CsgugVJuVtFmXFlcrgEjaza24th/EUjVR3XrnuV1L73LiFifS57MQWKYa1
8TpCYHpX4k0rDOc0szc7aGXeU+6jWcEzQWj2Ok3j9qLGi8JtEpzQUWVnuFzLsKul2rYO1WzfEIKe
w3tcg5dEGYaK8cIe1TFzxMmv+uisEHm2zbSADR/LDp/aGv4OMEO1nQIPpUvPNdxQ44GA8eqwmbgR
Gx8rkW5rzzmnd+1O5dFLhjvDTXSKHfa17IVrJm5Ku2hT9x3C7YI48oxd5aRfc5q+sPzFYW2PRkFY
Oljw2k7VPZqHCJFSAr7HYsKdpJ99PJvPlL3owVAobkeAN6HX5bgkmGZj2gjK4AyrubFxpa4d7XrS
T44o+50APbmK28E9tZ5HekOc3tIJHWSi7rQalFRll/ZO96trz0W8Ai4Trrduu5SndHFzxh7e1iU7
E1IZTkYyQBJQMFtIFY8R3ulWdtZHyuh3caEpyuS5bd32MuG1G020mOeKhHlkfrERIRxL+UnB2g80
2Nl+0KA+ZJLvHOpemXeaOeTiAJRoPkJpCi4FlvRmVc0+C/KAJyG6DNiVs6vOgq/RCLKTiWyQTHQs
fyP3dPj36fVtcm9zaPz70wsMSf/Z/uvZtXzX97OL0TxrTMMEfcdIhFPsz7OLL1HJIL9F3b4g1344
u1hXGnAQocMQg8Kdza30/exaBvo2UmZgMP8TovZfzEkIpvrpfkOZDP4X5KJj2kwzGGf8UhuMZmn2
jRaoS8cNui0J2eWm42TJWM0B24QBkk4OUmAHPacTAVSSCxeF2SfwJnQOLTQ1kejOaVoIa2OKBGhA
0gellypbWUSVGH0AigA2G3P5+tq02xpxXq+dMSp3dh0wt2ChD2mO/l42pDgR03JdiIrN2cIq0uqR
TgF8EQ63cV0uRKO4hm0kKjoxumgLwVSMcgEEEptENCaFxE8TORt94STRMiHiXdhJRjaUPt4xiEoC
tJJt+J8S1FIFcqle2EutvghJFx5TvAgu5oXRpA/ui2maN8FCb4rAONm+LkNkMGG3EJ4iUE86yKdm
YT9N8XitA4Mq4L4FwKEEkCidsTgUCn7ZmfYegMkJExEKL+mcz7X/MS+sKbVQp3xzPFMLh4qcqYZk
CzQRCZKUgIF+tlCrHPBVYOs3ntacI8Z7SpdkpeVyWYuFeSUd9TYL88IQ9N/Sr28IhCMoK7Ua/6qz
fE3ttIFFRA32aR3pzOAbOkrfAARHvINJzAOg/J2p05kawdYgBmL2fbFxvPGsnJyWvtJDfNQpkAVD
twDtUrbTviQkLCY4QZr2I5Cb82HJnYB1uRknkig69Rl57sY0gQOZRFVgo/oavLgKvSXFol/yLIwl
2cIn4iJqwal5S+pFndbXCTEY/pKHYSzJGMmSkUH/gkWF2AyW5A8pMRqDXuBjdFG/AqfZzs0WjRl5
qhaAB8O9nmT8CEkmWPVFdxYvKR2jRl6HvyR3+B36NjanPQIRcj08suE21ZL1US2pH2KJ/yAGBGc5
eSAEg0TSb0O8xMyaCQ3Rl/SQnhgRbyJPpJs0EXYakmLgI3Yo+yzb1LGN1XDJIgG2UgOQIJ8k7mNU
2MRbzJVl4s0jgS9CKoR7DJP6NLODbxBJw80GVCuvoY08g2Yn2nIq/A2bilPhmns8Mxhj4+ByKrsO
raHprL3EOOiUCCu3xh0JJoO0hHy6rCbt0FZ9u1Iyeycg5DEtoKYoeZXaw7Qc/58cUhetGSPSk/7F
KB19k7IoXkVdOZ4C1V1hWv9IbQZVXZ3gM1dvMoWoaJa3GKcRzDrzc970+qrTnHjrO2m6rbkr8YIy
HKia/8femfXWjXTd+a8EuafBsYoEklyceZB0NFqSbwhJljjPM399nrLbbdnu9psGvgAJ0Ogb2+oz
iqyqvfdaz7oyA/Y0eqKv8YxiHnHbdu4GuTRTDQoy0WlsTdFNEQYDN3WUrrUyucc9d2/UitvU2yik
40+5YNME0g1Jg2yxBRXmOcXFx7jWjkbQH1wvw6A0OmsRlgefQ8GyK7pl7xi4gz3tsa2mrVI/FDWA
nEGqHIpAPrQzyI4ksLxdX0r4+pmX7QaDC69CcXUyk8LVCF9iWPTvtvhlWzQpuv5+W7x47Z8+P/26
LapH/bktqnY/exzxnCYzhJ94o2xTinWmRD5SsPd9O9J7HzhhMwLHtEYty8O/b4sezwf+DN4GpYAa
LPyDXZEy4S92RfZCBH5kiArexY8neoytJeSaaDpF+aU1kWdj+tOwGFvvbpxx5ekTRl3PzM/cOb2m
l/gMqlxbSm1GQB+m+EYRsi9k6x2axDtRWBbLURPPHl3OtPM+znN1h8D9rUPIUmkYMSJPPqZlVrJA
CWhJA+FcZnZW4DhZ9qB14KhZF4NeQV/ApLgApv5RBGLeWIXgTvEryA0gSZHLPySp/BhM87Pmw+bw
E29Hl/QuidrL2rMvIpf8L92jPk9G2A4jKN6+RUOpBJ9aczTcGEh63hNfUvCZ4YhBf+Cwvu/ccEN1
5SNzyjd5qN2jiV0CUF4gKb5IcVbPyo+RSyR3ft4wmGAPjqOKg37qqgpgwfEIr3N0ahKEz0FUTSS2
ZKuoh/NklA1pqCMu09ii4USY0yLItRicgvOYzdjgBWf89Rjp6YHxHxPUAZKkRn4L4EaSnYZ+lUJ1
XXm0c93Bm5lHdDdiQrA/185HJjBVsgyi2r7xZBe0HkaCAlEOxU8z3xnDADepd/FYrBzWtHCdxm2P
jnkC4wPkP0jtlV+gnK84JbgCkX4zbfV03M1DD1+tQX8TB4Ss6Xa/lDNcct8x7mxJ4gZ8xtcyds5T
vfEIjpw/zTaVm2i4cEK/u2vz/FOUvta+c6gA/C8cu9kDEAd+ImOmvfmuMHVtHSYlvDEJTE5HhpxM
1jEM9fvJFoesZCCTOdNTZTjVHeaq6yCzrw2DZKpy2JP2sR3j2N9Fjm8ttMjfEaAEL6GyjlMHQsHT
SrmfNE4ic+Z+1PraXYhK2wyeiawbdZOCj7j+sJ89J1noRSlo4uUrr9fYgqpyG0WMPShiL3PT31gd
kZQaXKS67j7OaXqfOuYbwuGMtNfqgSIJKkhyN8nwMcjqS4SX0XJs3V2Szw9NnWc8fbijCpbLFGdD
PraHrJNczfH80KMdA8b21E7Rmunb0YujFY6eR7xJ7cq3cOMmOhrTtFZesfoubBDdlh1iBF0mxwSn
SDnT4W3lY+XRgKeaO69LeT2HlG6Wf29M2rjVp2mZdd0n7AjXaBY2Eua6BcxsLHV4a2I2z2K3h3Aq
coRa/YVpBZsk/5xQEHc9PrRG2Sci5ZdQyFqgsJeRcFYu+ZVgNsHatvBtKbvHpS/Mp0yhbx09aZc6
p2ODtKpF30+3QoFyx4LgI6uWtzkMXYzHj7MbnqewdS16wXAX8LFA3cVgt8s82HlCVpjPMy5A/zaN
ieoj+O/ViZXYozduuYwfpIL6ghEkKUJcgRwl73Wq12QWXxY+zq6sMZgvBSYTFT93FqkCBrst6GAn
GVOaDN51krCuhAow7PeYspFDD5tceM8jFOIEGrGvsMSEqPor/CKgiqfKW9excyzdxr6c4RmjhoZs
7PdVfFPmBh4cROlBggekKM6sOXg2cuPQkUe1y3xPW7eJeYFRLlZHjmYzpW6+8ZL2FevVvO5kmKxq
NU4hCMJjIMeYEZsb8wSHaZFv12ezAffONHBh0ZEP2+ua+AviMSDczvYFKP9jkfEpo6Ra4WKEKDZr
NkQPEtXDrFvSIfq3Ev5j9s9e+/db/h51yq8bvtqfv234hgNbC6kAu7orf2FrkV4D0xTylDSgkH/f
8CWNPwTAUmBVVxo1fvStDnaILGTy7nKAgKz1jxW9P9fBgmRyTOhK0Uuj1/lyInjXVrbCtOR4KduL
LBGgiFQy51hkTFWvJrOf2SMjL/RnAXGj10NYbX0yrB2DKw92GxKiYWlPkZUeK5f97QQz08FIgJrH
gcRtjKLqGDSlobU1JHNOekR2GhE6pvkx3BXN94r801yLzr6UXefV+UrqZW8fR8cZWEEMrYqbJ+g4
9TzD5CPxGrMEBA6vYSQd1tu4Kb3zsNLDfTDWnGmHwb6rCrL+XMB3VQfcaWEnMUP2auiP0YSbEVtt
fiHTpLs2RDI867njlKBJw+C5t+txkzZ6dhaJpGCoW/gXsebYGzCVIfZPgzwBd7CmK0Oa/h4Dz3Ce
5HK4MKDyrWospMWAORhriFk/uRFi1rSlZAYT5IB4dOL2FiIEThOUamCHU2/bh+nALJyIHYiC21Sz
rWt31tP1qDy2aaePNrUqOl2nbTFuCn26qCG4bhJChTZ2aWB4aBrQpWz8ZEXOfburfB1unlGSqeNB
zPpkzeV8Gc5zTA632ZnPCeXksauaYD8hqn1Ak2SRNWziAysZ4c1u1p26LnnhK833lSeMG6Ph9LGM
yVI6twdMco4swouJSENIW0504URNs/W8lBV29tyLuWJmllWQQiDEq6o0mF4wmKRn1GjNxy4ruk3j
xTmQ3Mg8B8+QYnoNmwRbKLWOAdLritG4tqELSC0WIUXE81EcEYP1x6ZJDsgNZzJWNHdT0Ux4G+BI
79wyCw5jEdm8t1hq5yi1dEKPGrKDigkPatvSzKwmN9+WAb5UG0YsIkywGIvZ9PxDWmviIwP+exi5
5pmpueWJt+9vtIRknKYwsafVtX6a5pCcGPID90GE4wgdYczguZyuQ7oBq74ZqvUUdeM66Gd/0wDy
Df5dWb+urA59v79fWW8RryDC+nVxVQ/7trjiibDpCRrEa9kmYccMqb4NSEzrg3jffPyjlEKJZaGc
kxLa9Nel9fvK6n3g37meaU3+Efn6D2opMlx/rqXwcOHJ0HFeYL9gVPJjLaXlwDGqqskuc6O0uaTM
zqcJ30V0ERcEyMHeHMeek2cqy5eqzz7NxRxuMaDe2OhCoCc/Tz3BRmUX7GoIr1UJXgYKT7rqbHkB
bIyWGd6fRVGiPkLHgeQ0mNANlKKDbwpXRfMB9fRhu4z94tRAxdEEln7HGz6Ta1yswwJXkYeiH0vk
cYRfvLC8+Fz582q9QO5AkjOnE9HjcOBnNPM/g/In3qCrn3ssYnOWUBWY7rM2GptwaI2FHIOdZB/J
5wQ3WBL6C6caHgdXu0vbiYUkMW4sp30IGHFvPe7kLSAkcQpYl2EbeC01SoK8ZgqeELZA1XI4zuC1
uIoi81Tg4CJRyLwhakbZX6Or0eRW151Xu8222DqeGjs62qDSljX9Whh8xxrcqW54u0yvHzor2hdj
J/DGBQ9FIx48eBFDwTDGemk876U2m1M9R/dOMb4ktputTEufV/h0LlFjc8hHDJZhrwK7iOJpJvdr
MyXRDWDei67ULmar8lkmqQYmkxLYqdxsH6OuWbBLhotBty81Z2CDJGp7AdtYklhvHONQBNtY68Sm
ClL2sA63VzPeiUY7sFHAPJQtxKA+Xuhedion21vSMXX3dZmb2wntgouPC+dsFxI8n7rEgIX1Ktbp
94neR+7VmXSUU34qJ3NXE7/ru3KTRt2l0LuTXrBro1attrWd4z5kfBUkyd50SIobW8gBrJS0pfR6
j8y2Xtam5m85OPjLgYxc2hMo+ma0RW39HCNoFr1zOQT6PojluBRmvLXj4i4j6t5TvopkFndtXC30
LPjYEDQldBNxzIz+zOkEWcMV+EM02g8YtEuowHS2ZHmvdR3tvma40zz02jw0Xc+pVq2tPrmZNHNa
QyVl0zAIlGi0jKZ4eW5P3imxUaG3MCMWbjGcdWM/rEd3LE5yyALuldpdxUVkfm0PtGQ4JMh9n1of
Ea/elD7C8kapwuL7LgF/G91ZLUJA14vgPBrVysZxuHSx523zps3pPNblbjRMf2kV+nEqh3NyJ+ZV
FkfWCtvPFZLDcD3l1bySZnaBFiun1zAiebPooY7BvPfH4ikZlcXa0m9s66BNb4mOoFEL0IiT/mVN
Y7xCard2QdHTM3rTDWReJOW91bP+6DXemT6kFyV8bZMp8cJptHAtwGgvpqy6DsnMTmFnoTuDcTkf
7A7ffG3AJuTai+m22LSypzezqT8FGlqoor1KS+287eNkwyxwRXzIOXxqTmA6HlknB4AVd4m+6Lyw
Z6TbvpU4hRbpOJDAO8oncGufOP7SHS20ZGEWTETGwUU23U0UN47mIjyyH1h1gbxNNRqeVLy0ODQW
QJqiFQvysdHqcRs0XbcJ5/7Q+gjozDq4FuH4FEcOgkQ7YTuumpRec2ssG7vaiUys4GdAhwjHm9ap
6OHE+TqFkYo7OzLXee7U3HQFt4QrznGix+ti9C+KFG643fkjXavgxid1uyi9GxCaO2uE9SpygM7d
lALyABYSGNUmaN30oR5IJvYHoJzYQHAQqBvbie+J82rp3w7JhmWVvBkzfB5zMkHBuGyQwR9Y0K8n
u+h3FZrXFRvAFeRoaMqEyPUoLrahTg50jwd34RB0R+/qEPrk1iRVegbQ8ypyALqYMV0F6Hv4CGpj
nQcpj+37G0eAvJvz7rkpYvDiKPIXTLRC+iiVhhFfe/Nsg/0irKMtg9Qryphn1HrBokqlyzDD1Zbp
SCcHCEB+AWpWGbvQebiZD+ltouqc6E1ZJlKmEGgjZb65dcpc38SR3m6YKz93XnRflFxIg59vpjbA
fsavnL4yh7+BnEeC3fRgg0iZ77SPxB4uH5MTGx8HfhBuGiflW+rvwgnnKXviso1dMuKcBoe7dAhe
1CYuN1cmKw68XLGpmlhp87BK7Ph80kgT8wdI74GO3F5LxJ3TTltsJ5+dwrmMg/J1NHi6xo4fhCDL
cqg1xRfMzwws5xfSmc/Z/5G0YE/TDWNPvHdNGWOCbSDS9aFK43TfqF6lyY2f5ta9NtknFOOfhyrd
eH58x2avHyNBKiz7/76JgpOMqltvTnaWRuddhj2cSdrzi8kedr5j4SEDUF/0NirWGnOIKeULlntt
hcgxWFKyzJupcK8NP6vWjhPaOAjGfF2W5Hf2aefv9Xp6EhoXQxv2JohF93bMJfWIrx1Q1j3VsYSv
R1TRGJfboip4vCwviwR/NnGewVozkNDGo73BefGI/00u4kpcMuf7WNhi65eqtxdYb7FOqK3VG92C
IiZcu2MeboRMmXIAWaVnRcxuHhst/paJRtFsPIoGEK6dINwu+cXWGqt2CCNoFctpWAotfoLQdJ5E
Q7hsQRcsq76EFUn7wm5r8HtorTtLjTH0ZBcHICoiF02d3iKRrkzaRgApkYV77ucw0PDquCQ79oal
L4uMnM8C3WBBzAarqriHcgk6PEAUnVXabVgPd7XHjC6PvGUxpGddA0Eo6JglBcxqViYK3pZu0tpH
09spcW+me3c2at8A4fTSUgLgDC4Dgj/uJwt18Bho6cpEL6xxcuKGREI8oCUu0RSPJvu5EhnrqI0r
oQ90daPXgWaoVoo3oWu3moVAWSqpcuIlb1KJl83UfOlRM3vs5DAHnJeml1s6zmThoHz2c4u+oxJD
jyK5DzLCnUhAMJcuiukY2m7gP+voqDkY0PvFSbQwuvhQOjX8UByOFwAZ974SYrsosgNSXBfZEN8a
NXT4EtW2zDyxMNFx24AdRs5clGEzHcOyyNeVkn1PThegZEEKXilRuKvk4QU6cRe9uOtOEJqVhJz7
7k0oUTnXDLVPYm109OYlWRyEMhhXqZKicy2cWyJq8SrFJDwn5Y1QwnWH8T7Hy5F1us7PRyVvr9G5
G277Aiy0WRoo4Cslhc86/Y7s5sM4pbemEssPqOYLqT/3PbleIMEx3StpfYHGvkRrnyvRvT5hX/eU
EL8V8avH2TjsSUkp0erPGdQMJd4P6nlvouaPYvy7CPxLpfRvOOXJhKUvVC6A0Bvkll4IbxKLACyn
N6pVps/F+GhlnPmUoyDCWkCY7N7HahAm+ZOP9SBuu5ONFSFTnoQAcwLUAnZKi6Ggsi1gXxgdAN4+
hoYRY0Npe3sPowMEmctWGR+UA2KywnWIJSKq+7MacQ0zGfAwem8emhicQPXFSpHms3iYvhgsKs3p
k6vUacse4oZYdk6pHb6UXv+q9CyGbH9fg9485f9tUz/lL1Hz8hdtPvXgd5Uo4zcgiAhLOHAp4827
ShQFKhM6RC1oV95HG8kPHng1pQr581Hf2nwg+enLsQ8R6/xVCfMPilFVan4XcyqxCx1dHEj8x5Oq
nKQftKMOEFI39uv5NHNvuT6C93bx7ou5/Ppc711B6hm+vwKeIJ4VfrMU1OEcWb+YZN+1ETGxiXIs
LeOEQGBR62gTIo5+n9Fa//51fvwkv77OT7KdQjPKqo4c4+SoiPf6bJCff/8CX0TBv/skP41AOfNh
aw/5JOaIitC+k95bgQvP08CW9JQeIG77x7LbddFlWyDYiF7jcBMEl2Zx1eY3waDUg0dBKJHrg+Oz
r7r4ZmDRHxm9//6dqq7yb79zuh/vFcFWpPkt5wm+C4vYQgZ25X0HXbow7NNAq8H3EwqANwkBreKP
wGyWv38DX0Jcf/6qDASlSpVFs8NUveV3v3R4skbb63I6Ue5ExtIAjXCW2KbVLqfSrkqV/p13e4QW
h5qoWacbro0UoNSQc+rpdW1e1gr0Zpad3kMA0w8Djs56m2YPZmYdiEDBNW1qsXE3WhmJu4kXwyNy
20Uex2vkg/uyw3rZVxujnVYMzrbhfOpFtM6QnxSoBjsxb+vRu8wQ28zxxu8eVIJlABY4cM/JsAav
AKyGlAeOuXuLAFZJo2MCoZM4t0VZVSthYYamGI/g4nRGdyb1bI0AaKoeGg7lnEJpOedHo7Wv4vg8
HrNtT/jVHf3uRWkRf1x4ty0CSTt2FnGPq8qJAntlR5W70t2MTTVJH1uN7TmbqfcdH7B9YJ/9/jdk
/dzd/+nGt3+6XejbwlEYm/mkb62dv5/P2ntrSx/hRAv9jKbxElLRiubCxloe6gM5QqvxUdsnm3ar
bwVhufH579/Qj/qCX2/fn6yDNhgFmalLtkj2iN1yoHPNgpG5/h+WI3Xp/3xlvl+OflrwoGeSfR3y
OnRs0tvxcxUso25pmxCC/sNNYPz4FX/9SO9vAtUGfHcT4ExKa8ujSxVaS0RURLWPyzpYDM069pbB
iUnp77/Cv1oBUU2inlBGT6QaP75eJrJRSnjYJxAhFArPvXb5+xdQT/Dzd/f+BX767sAGyLwPTPME
8V0dEAcN1VfyHz7Ff3qRn1ZZb/TEPLm8iNcf54rouVtTfPr95/irLen95/hpeZzYq+s6c8yTyb09
pqhXxDUpMh5Nki8v9F99OjqPXuqiKd7a/6Ge+aUAABUFYfu/fvxr8/XvwWuxemqffvjL+ost+aqD
JXP92tBl+HYiUP/n/+kP/zA3307l6//870+fM3TtUdPW0Utr/tprV1kNvz8eraLX4K+ORjzw29EI
qwJmBJ1WqU6cARql70cjAxIxvXbcCI7S/Co11DfJk/WBY4tOJSwZUDKk5Db4djQyPzgWFgfP0zHb
qRHoP9E8YWn64XrnLfFkzD8RQ9k2hgld/fzdDUwVEDZh2lrnhisyHFVJ1cJK7ISTcIzPhhJlUj/L
ukfgXprjKszJj+kKBWXMgzOri+VTEuZLq61oR1SfYpkaxuVgNNiV4y/i9Ebp1DPSWw+BpcTrldKx
W18k7Uaj1xpRgCjdM9/yD8kk9HaNIj42biKJwuI4B3PakJwYiOG8toDTXJVZuu1Fnr6iM4hWBQTl
dNnZbhdv9dg1Nh6T2P4aOWC7t1OTluY8h8m89vWpQ48jUWjIKtSPZuf5x7qqWKPynDFDOHpsBlXd
rsEgRUf6KfaZ788l7jLP9566JkcuYVc+Gi1pQ6NP8rC7DE1Cjaf8k0yCl1igZcF4ki1L4byWLcGN
ZN0A/Mgq+zNuS9wCgJCqgDCwWXc2baJ1nwbkXBgAdCgoGAMNJP8EHdBoce8NPMMrLxn8lzES/a6x
csaojEXOtMTMdolRywtZdeN+Lstqazt9saxhKlC35qOyP9IKqWHKer1/zi+3XAk4p83Q+Cu3zY5u
R66v49fyfHKceQ/rDfqJ6YHl8MItjRxaGQFNCGty42XREN8mCcjBiPDq2qFG533eYQc5WXEktpM/
ELzYqKx5n5K7sccHO7QJIhlmsjaIPSLth34izQ06cQOWzBElTAjTwkudcVXT6kKfUponnQb8jTY4
1jVZTvlrrNtsxlWU32M4BGscVZ9zjlhf8fP/1cvW9rW4ANPT/LhM/b+8ahncwX+/ah2jPGh+XerU
g/5csbwP8BgcWqR0oL8KM/4s5nQcCg4ENDQdX10N3xYs8UFFdrjAgGgoO6ZaZr4tWEqyQeknsRt8
qfP+EYRNUkq+259ZFT2WKojvLH9CUGr9dIYyfKudklI6F+EMseQOtnia4QWYMhLEQ62TCxd2WHTe
uIn1UAJigJU2pFe6Zi0JckszxkYjt2MrdR+Woiuaap8V9byaZG85TOEa0iWbxj8MVgq1s0iLObkq
oKeXQ3aNTvsTXf8W/7h1MYmcuUgOcn2WI/jrKnwuZEh3ibYf4gUUS5POMA5mO00XlHtmMq0GeO6h
4T+gMoDwXugx8Nr0C/k9SRlIZgoH3zsIn4pVyLOKZdFNbX5ua5PYTWSPRnbkE9qZDmu9zSlx8r58
Rjf3KehjsWwF7WujzDcNhBz6hLSwYm3H3dOyHOTPulXHKC18JjR2dhcF2ot5XubTeQGgaLQkX086
YxVI/Vujcq+yQl97U7+N5yujFXdD39wLN1jbYIa9r4fif29EVW78/Y14QzYV093u13tRPe7bvah8
RLbAJ+S49BaoZ76fHhjx02jhYEFTw+Ku+H56sE1U0R7OSUUAI87A5lD+x80Ib4WpgxrMM5FS/kj5
j04PUt1t30/L3I02aUASrgt3vOCtcLp5f3ow/K7pkloUl2Oty02uevw2Ux5i0YddKPEIgIlmCwDQ
fuJD6EedhCN4wQSc7sGFFQ9R5jfnQo0jGsuqbmLGojtn7JqLIfHLz2XrZ1upph9hCtxT8USjZelp
8LYzQxsvmzojbiCO7UdNJ5LN8MGTLX3fSFdz7ucXSVB6n12NKdSYOqfAMBgvwzzfzpx07hj0OI9p
L+ubwXS687YJ5R6/EOGAstNAgjtQuqxObyG7NOZr4XTpg6On+S5wGnjgpd889dDa1qGObUbWmGlk
PIDoCPvyalCjuA6ZQBAFJRgHw4ZSpRFM/VI0QWgfDeZO07gBbg/Mfm5JfocmrIJQ7LSr6FY0eU2K
c8nWGxhjeBPicKDh29GBnVsLDO4FMy3mbDp58ow1inRwJXVeXw7ayjGDNDoKLddITewwcqA0q+CH
Dx5HI398FENqPWE4d2BxA4LaBKFwDlMHBawdivmJPgAlT25G+jEYUC9HgeExIumDZ66kCHrvPD/5
TTi/imh8YKy0yYPooEnSkDNDAHd0mAvDoWEg4RrdtE3QLB3pkkxnSTGSOdMS27oYswJeRDQE0aaB
ggC7tkcDD97g3pZRugc8cGclVbgjFYn0JaxLWKHqdifiRty4YZntWw1BfqlX4oJTm77K8DjqC7N1
mCGiYHttyFB71uSgHay0lfS+M2gBBlF8LZiIXtOacY3/vmrhf0Ql/aECHXbp56zurkKSzeJTgLp0
NXv0xkc/ic9kzNStQY33aPhgu4ZZTmdNMhePczdqRy7eYGnJnEyJoPYfgK4Pd7ka3kBzjm60aCwv
QzX2yUm/IomPSTps3cY21n3shS2RGU4Dp3PCL0OustiZvfnqCU7bqXWQ42CBQa7JFtQLYbyCBwbp
Sx4CLf6GVGPkhv93arn/Dw9FlMd/vxafPTXN61+waZUB89tKbKCPUrYQiiVMk1/62H+eilBVqX/+
1uRmEfyut2KSrzJqdNhYkGG+r8SW9wFqouAZJT9U9pV/tBJT9v20EjtU+7aj+pDIwUDe/rgS9503
apx3htPEKUOuyfOMQbtI8NLBFOFyMP1jO2OGWk9x3ycfjc4AukrdGrX7co4I1+zFnJw1EETmdTya
7UysfKmWQyZNwnkZcZUzymHSPq+Zd0ewrccalpwReG+enhntzdQ0jKGg21EB+NM8e6u0LAblqdB8
bV5XIjAZtdXJALB9pkvLBLpDkLHOTCZSa1saMGcVKRztY2JsmYsiEah7MtjuUkMLxYaI7H1kGiWk
c6ykLA/9tButqYvfBssdNwGBhjqZkTEMClU870JSCA5YYtLnCFztygvg2iymcurXWopeliQ7YLAh
i5yeaSCEkOw+9w4i1pnUtW2rT0yUnSqwt84UvolBsxdZ7r7FeWrjMQwo9vD9bUstBjLb07bFmTIc
wwAQvYs6F79LZi4w3geYFTQOX5KBtQmxlUwY3NuMCDQG/MrPz46m79zaZq31YVAbrpKGzkVwKGst
vbRVBG46sgi7Zf6ayNnZWqkVrAHW2lsURdFaJ/8Wj5skIoct6jLRmegiaIDAgNQiq6qB/NOCAbBr
vYaQs3ecLrkseqRaNIpJ+ikCjB1Cey4TP9iJOe3oYxdoM+r6TQ6+vy1NbAUyi/tmNdSEg6etyWgQ
++TBc/R4ZWphjKGT9ntQiAK8X0+nMUbXIx1kHXKYrjzPd7aDV2TrpgudRTFkpCvUtrsYOh8o+Vzz
Nl3rIc0T3AJVHOAqQUuDvgFut0xJIy/7atEBnNkSdlRdQYjCZh8M7ZVkQriYJ6OCboajdo9oNd3M
ujeum74gI8Uey/VoyA6GPgnj/pgnOyOFbl758R+ziH+PsGqQ9/fL5vkTKtVfz6/qQd9WTSSq1Io2
B1ek7yybPw4GvwjvoTt6uN4V0udbMUmsl6mrUR1lnqMcf3+eXy35QdH9bGo1QOE2BMJ/smqaXyIl
fzi/Uq+yrNusnLwLnvDHVdOlw0aUhz6frCz8WHFgwL8+EeWkBiDGnG3cSmwNBiTOpJH76H2El8Rm
3AHlQklwG7v2uVW0+4yRDOwnhhhSEsu0jgisvUsLD5eAqV8FWl7v2yEKODemsfaM7YjFITfA5B6l
32f0bHIdCmYq413TEkOV4eG90vMSoUAnboZExR+SjOQ5WAjG3FqVIQqAaixup0n7COzpDkFRt9DN
GWVCPeyFNp3CyD2AAF4RtfNSE9jlJPmwCGL9uozNS/SnH82+yVdha7HmtipIFYZq5+dvU42MPjSN
jW/LYGXWBFA65njCKPSEMGhcOb3VrfD5fK6GbF61OqnA3uiuA70lqqMIjU2CqQNNu2ZP+wGNzzIc
gqPRyZOVBEyRwuPcyaVuoAPtsxAVIyb4ui/vQ9171GCiInWyrhJc760DkCtCsl7H811bD5u+M8oL
w1filOLNRJTV19G115X9oreyM8QoeyObPiZNd9SK/k2vnWmlaxMmZMvqFnPU9wtNS9qFlSa7qtGg
zYViiWHJXPkmoY8OyYgnk82BpQTzYN8OKCGKYdkqyHmBvJWQn0lbu0kyL/OxNMATy5dwCg65ZUzb
1gd8TvYZdn9zzxx813X1yU9hhFhkpqBvrauSTUt02bZlMoymMM32VoudvHHO2xFvmVWY5jLEhWnr
/nOCEChJGSQr93acj0+BYFjEcy6L1IMPqGiAyDooTLQnvYZzWfdkYRkJvsrGe4UXA0KVL3bt6qRs
McwVZ+lg4bPP65uwIS3bbLPiaJgByQjSi1dz3e2QbAH5Fam9piJauVlmbIm/RevG9X/Rke0uNXuv
Vc1H3XF2emd+HHqEiEHY6Ku2MQ3iIc34jNMCPk7ME+vQAcjk90SE5WNsLy0k3dvJMPSLcrTMK/iL
chcl/dazGScOwSFLsP6PlfkE7MdZAaqJThL13dLDgDK5GcKtZiCXOkqXzpA/T02xMfvooQiw0XsQ
54KQ32ecTinaE2CDTCLfLWqXX1eD98N9tQZ8XyO+jrgofCCC0cQCLqpOXu865KU1Qq7XPOOUZneJ
/Rn54n/M1v2Ll/A89JJKyG8AGP2pjJ7KYGzoqNqnpHnuksupvM29r8PQf/coBWD9+z3qtkMAleWv
v25T6nHftikO9wBZQL3R8HRckE7v2iz6B8E2o/qXeC3et1ksV6GmsK8Z5lcWLr/Vbz1P9Cv41KVi
o7G/qH3v27TqjwuOQRdjMOZcf3EBCucvrg+s8SSMEmaBPV6VEe8vQYPTaaYVWXaanfBgGTjJeg51
Y5LT6AAn2rNXLmI/PbdLwEyMj7hHiV0jiiXstD2bzsobzKvcIJzPMg5DUz4lnf3oNypkpj0fZ+Ms
IKB6DjmsJ2S0LUMZPDZTetUjoliLLCPoWghyX6BJ+pD4lrOBpD+bUo64SdgAfW3z+8IKjx3IhrPc
yi7dENajp+ryWWrL2kueycvaWL5xGSJJZ46DmNuLHwaDZazIxQk7drcyO/LFE2OITp0oPouiQA07
4uCYiTNbRn1isAu7Z20r95af3SIRf53s+byxvefUb26HqS8guAfbQnQIUNjzil6cnEIe0jaFjhQ6
d4Q8r+ai/TRQTTQ9p8caj91i8NxL26uPaVbg4Esu4gG8hWb4KMmGaMlAS1sYtXbvZTBsCgAfuhOf
ASzBR1UC1MSzus+dlCxICJCbUHjZRgN1OpII5fTdmd0RllhWV8RRbTK0opOEQu54m84ar0nbQLNK
AWGxu1pGiKROe+ht/5623kZ0aPQ9UB3gOLLnaOruSo1UvwzoJoax+GLq+eqqhHMCWcaEa4rsY2Xv
xdSgECEkq1hYlSThT3c3/sB+nDliWE5dfwNxdM2fYeOLJl21Vf6x42341cxQK0JpChJ960Q6341r
LP83e2fW3LbRdeu/curcI4W5gVuCoyiKFCVZww1KlmTMU2PGr/8eyJ8Ty3Hsyjm3uXnrrSQ0DBLo
7r33Ws9CZ7qvOn6HOIZRGKskHhajoxKQbZwjp9j3vf+K0iVeRLZ9axb2WdFpJMOJv3QzxEGtJUIv
LHGvRDI8K5a/wwpoXloFAvKhim+RCL04KhABP7vOwuSVHepT4IJ0hKeEupmb2pa+xj5AFYfJZwg8
oYNBM/GwRcL3Ulz96zJqadVAuJySjWp220Q30lXeDuNKr9s3B4fj0rTn8EJRPlC2rFytTC+RRlAH
pKjag2KCWD5oNYB2gjOUOVFrGtB52ppbHnBQ31UTpLayRTauouMsIkVji3GcZdbmLcVdsVcLfH4Y
JNetUz9EtriEGnfOu4Lgloh5oKJN0ybLkannPucYd0S4iXf0qcyrG6fjh7eIdB2t6Upt/Ve/U7Sl
0Vlnt3TObe9vewPGseb7O5EoDlQjmqkMYNYDZCQsDfiX9CCBDdrLHlWzRHc7jc+BMdUelgh05Hyj
i0aRFw0BqWpiYzASHLrSLDrS6thEk56txuRM+auFPn6UYHpWkvG56aAdDt1tkkK2H5xToutEawYT
cnedswnKq0809tBjp/QZpmYdjp19waChX5QagIjW4mRBA/KZ33W8MGtrVZSluUhwiVEvmm/6UANJ
UA4DQ4xV5Iz5CsjOM0bQ7Vg2lgfegpwwAYyGpphYjBIluV71N6QiFgB6yJP09cDlYIdXoO9SgvNa
nkD++Rc9Ja5ytFJ/kZgU906qnLEWvdUZj4RpZxHyWXFXyuqqBidJOQ6voVSPgsSwOkbwr+icf/Ke
FDRbI9JQneSlr6mbITf5tfnG91XOTSc5T1Pb5I8mEQNrLB/5MogcMLUdI9B0DLY+xs9toQFqsKNi
47I0IhJfVwRWeGFoHqYmPNapkVEdq84S9/BNH2eczc3iVNXqJpbmbTmxVhbajRZUugfcTdL+E89B
UF6Udnihc3PLPlKhZ6jtnWJPmucD3oBjgWFKWjzUHKce6eY8ygYzTG0G2yBVOP9p7SpjgVuYTXtT
OgTUyYTf11DgQmEi83rS7BYQGz7TvGSpKL0idI8sdBtGW9lCN+tb5r2fEr25l5VjLLER35suPCVN
7zVsLDpn+zruIP+HFmGe8PuKgAZuClBY1vFNbhsb5unF0k+0xz7BjOOCcbJSN2buTelvlPbClfqn
zr7u64vJf+ixtIXGNdaoBTXaJ7TfdxEsXFuD1mfnxZVeMjErU60m3ch+01joVxpyN9wWvNocOLeK
hZxZ2FO0gvALr8w0SVbuL+syPXeuvhVDyvIbjStaCDd0XvdhAVk0Ctp70WDcUavmomquOpsOhNUy
3xMB3RgjgsruRhu9kkRdygimxLRJU0mYOxSYNREXB3cUyroDurEGggIlF58fiAPMIaQlo58LLtCC
ICmynRCWWRHgChpbGFHmULyh2woPfd4wQkGEbon7uMj6DbkUEIqbCt6whmXGC0kxw5FIYk/ggK+K
SIdk/brwm8k9aoYsjuqkwKeqG3PXifCKlofjPLfmOG6mAS4j3MhqxeYRMxAI1pmlHfQSumBeXdg+
jw7G+4VsMHMp0jQ+RaJkhehoYxHvukUbfmWadbDNQ/XNGNU3wls+s+XE2FoGAlZxdDgCq4DKrfN3
rA2tWEKXQMQAzsIKQnhjsQ41CmEhio6HcMg6ygKoGn0VriqtLrBeTGu7U5BLCHsf8GWXnxv1QjP9
c+KLraL0+lUkKSbLAQxam2lekqp3fP3s4lr6Vg7xRacHYl1Ww7Ws7U3sQM7C9A/AZlDhrkl1Dkcp
Sc+u+oe8GTCjpTcWCdR2at1lbnUaqxhL05TsetNeyyg9dbwnGLsGVJblrSjMFxbXU+P2uUdKSuxF
dnXWFLlmgdM2gMPZsrX6iigwgk8mbZvbjT7nyxyFS15Y4octSR7JuJJDw/PQB+kyJMVvIe16lQ10
+koblklU6M9TjWUu7Rkqoc8BeWdfcch9kLK8HEQqGO4qK40oE6t3HtlacFvpZ7A3e97crdAhgVd9
eFdOgNviKD30GlttQvql3+z9tLi3Su2h9xP2iFzc1/pwKAb8GYgl8XgiMEaNGXzKRvQqGmy9KbqQ
pjzgllqX8PuXFIPXoYUwxlbsO8rvwzTQQc2jz6kJ2CbBNFgb42U3OO12lCPuh8E+ZBpcIjtjIVTC
DYmOWNcsc5sU+mWvTqDRDcMLrEl69mTfx32WnQzc/EusZ8pC6aW+7EJComlwl16PvHZhZaBMy5po
b2eS29rU8YKq8WeBw91zhvYkytrYuLIrNoFb15dZJbENGP0+jWHawXzbJMRBb1yMIZw5iSeA3p06
k3lrN8oFk8lsY4fFzuW0VdLvNmISEEny+S8E8P9+9bXPMuh/LsfmliEL8/Pfy7H5c9+VYwZWQoFj
gOYhVdeHcgweM4q5uZsICfyvpiFuAoYs2p9sEMr0v6oxzSEsF7sdSD1egH8lmXvnjX3XEGDo7cwd
SObVpkE5RsH+sRqDSZfoYtLDY6ZOpn8ImT0+DZoaOmRhgvM5FWiZLqa2sp/s0Ozl1lXyCiHpoPSP
chL1Jzc0ixvXjazJI4KnJ84yF819bbSM07FXCiB3MRR1jlnDfN7CMGt66XwG0wcbFxLEw0A7tvMh
LR2fOZc96/PpLRrOdu1khBGrG30+4unvhz1OfUNHGginwNDmBIvJOvACSVBtoI7PyXxorObjY6sH
c+gnR8pxPlyCG5jjOjkS57w1VuvuzEDKRceZtMzss8kZNYtsbZkY4nX0hytOKQG8KNqEnGtLzreh
E3PQnY+8+Xz4ZfgzbZz5QFzMR2ObM3LMWbnjzKxzdk6Q9F3iB2SAnkBf8nVSo2vO4qbEW4kK0fFK
zuGgqO4qcyoPBm/3YspNjTKFKHCJc4oE7o44vvlQ3xhDCNMsSC+J50KeUz5gfOy8WmP5b1X5NtVy
XCXukOI6b7dpjXaQCkJLiE0SIl6PiusR1cBJm2qjLRpMXfPKUc2lSAA5bBvl/D+zGzjSu8WnnMpF
uMS7mARzlOmLloS39lziNE2MipCqJyqV62gug7q5IPLn0igAzhHMqpsiNc/hXD1JuMJk+VH35nsy
yM7lXGiBlGZmDGRtUc5lWBEM+xyrQTNPxc0i36RzyaabLT5gqriWai6eyzp7LvC0IVrZZTOfbTC8
z0UgWoW1OZeF7VwgivdaUZq7Zi4enWyW5FFPTnNhaRkhJANKzWouOmOqTznGn/25HLVDdjmLCpVY
yntbdx6EH2BX1p7TLIgWw/zXULuzMsIq8adjSs1bRzq+UfyFYwFGur1M3eQ0jfZTNBfL+Vw2yyGq
0B9SSqvU1I3NY6dRZRes7M5cdoeKc6+IUOEoRkmuxez+ipyDNZIrq8yOBtU7eT2nrnaqRTMX9oEw
14pRPZG5uAwtHUc+LQCbXkBJT2CM0I/Am9wrLunpXUUvn/6BEwuaFMNB2u2bTn+BPLGdJuzLeG48
qHMLokld9sy5LcEE6TWdGxX6xPjMGdJ2WdLF4ObnqXz4UM0NDk3NjjodD/a6dUUHBCSF58wtEeBW
2Pvoksz4fNolTAHmBgq9A0kBQVNFUfN0r8yNFuu95TI3XwRdGOZxyQqaxLVW+w/p3KhhLM18ld6N
60yXKb2cVku8lN5Ob2fPNPdJs+ai9H7iksOUT64xPaE6VTcmPSJjbhaRPnRo5/YRVQ5WZqoZU5/J
QfSYRnpNbtsY+0iT+TUieL++GDoNk/2UE66uGxOsnarZarFzTwsOc0mRabDKIyA9Vao2m6ymYRTk
RbGE0qGfhtG8UNRIuwp5sTx+c+uYCxrFVodhwG7EcD9VhKcRqpbukVxYm4avAK2Gkm41gZ6FM5Yw
cLD4gbro7CbcNopB6aqHXHoEaE7jBaPP++70X9fUosX8z9v0bZs+y5/1TPnUn5s0G66jqXRAdUgv
8yTuT88f7VQL2pcDSJM+woeeqf0HOnNU7Sgi/lf18OcuPetEYf0zkRMmDVfz3432/oa45sJM9Bgg
zgI4QDRzT/W7tn3gV2qVQ166mmgUUem1T6hsQtgsiILULl2OMr23NGqesfAPkQRnZGl97cm8O2V1
sROur+Dh02kddhXM32gftpjvBf2iQo9uVDV57eBDeIybaI0pPfE0vX4oJgTUvmoHXlaXR6qO+x5B
kV6bD1RbBDLyrq79lBaXq0zrlOVpxVEdDxY6eBEomK3K+JPl5E/lWNx1IVSVouEU79s2WEsajUN+
38Bs8vNxH9rUQUZ06JLwsimip7pwIF644iQN64VcGmeVcWOLMUWorevFBXEyj5zqx5UZGxN/LLSY
Ku23iM7vRr2Uq6Dp16Y5NUs9BkAK8yqlF+y8VmEH3zC1L+uGrCvoNp4TWCsrcc6AOV+r2j1FFl0X
vZrnokHcrPwefVrZPYAwfAGS/OhXWGmK/IXZjOuhFSQUiR7LtqZBijxvCzN7YcbBU6oTf1mmTrns
bZbHvixees09JAphhtnI+aSc15vRzFwoWZ300DZeNqCxKtO/ZKdfTlEpwQj0ayag4LzdbaBb53Hq
vkRm/Ibp6taIgo1vTA9ZMGVLdRbR8SO5DAoXfS9oJ6kUkfpQ2dd2Vx9Cd/iSxi7dCkXdFNAdvVbi
N8pU/d4MrLPZjIjpo+TWDPQvrW53uzGaP26B8DCN9iFT2m1dMN9ERM30qiXQqW3ijW2nj4UJZQTP
35UeWiqAQhjR1dw0U01lLjzXqqCZhaZsUzVhAZmGAWdb8qtlDQMx3bKX0DVw3k3O2p4RZH4NVQBw
AhEooMlk7I/UldNZpGgucmvd4mL3zIn2aZBEtJGaAWUebZpl2vLEoc9QPGfiIR5rfsNML4NVL6eb
guPhAnQ6Zvtu7avtzeQYF1GfQHLQ03xRVz4UtDQuqcmSl6YYHhxYVrRays+qVhAgXfie7MGn92q0
tStyjwol3KoAXpeKSHJPVYuNPapQLjGl1aribglsJf6ic96yuLp0hgKqZx2XKyhGOzsYRyYDXb7C
T35XVBZhcRJzbUODCf7I53ouC1UJYpZz4XQCOqXvzZxtbLAMN9il6MONJcEb9zpx0d1KKnUYfeJr
8Juj3oiAKI7IMtY2oM38VmA6KghMKhkeYOYkKwMkiDhhvIhsWgNReDKqIXiM2JXYQwVSV9wOV2Vd
w0ay4eP0w0K1AnSvbnATVqi/A9cartVUuSDXISIg9KvGHLnMcnhXnrfvKvTqXZEOnxB1ej0yxUWv
XnxVrseG/pD0qhod0rxE2x6nobYcbPGiBm0be4k9SjbQ/j3IzE9Mq6IfpIvgVm1EWj/qfhdgzjco
VZYwWGz/KbEiWpAqc31lAWyUE8Z/2+U7+np2dP/zdnkTvUn5k5p2/tS37VJ/T7o0kF5jBePZ+267
RORNTUm5i7diBrl9p4RBJCggXzuoXd5V3t/ZKgiLQDeD5YKtdlYk/qsR409ynCmMZ6EOVa2q64hv
Pm6XkxFmoV5E6LQZySz8bIrJ2Xoqgle4uJwiI7pU+WU0s3EjqMGX/czLlbo40pA9tlW5xh5wTgHr
Aln20EoMmzoJH3JpbSoQvEbuHErOiotaPLLz01gB1jsB7W0sUXOkg+OrB4y4hvwW0zR6Lxf4YsXC
uCSv/JH29tK29L3F7CoDDzzNrVNwwWAxKi8DIBxa+cqdicIJQ4S6ZQuOgQ1rgdj2M33YTJrTAI44
zvK7CTwxWQ0PTIIz0mP1L0qf31ey/ZRoiHJM0MbSVdYTqGM6dYKSqtwwqWy9HuUFWkmwQIAuFgJU
cgMyme2JpZVoGAFMWdbg7EbwylWvD0BrR7GjhIIN7pv7WIXLGPfKlsoM8lMk/W1LRkNhDjudkqkv
7XNftuexyeRdCuQ5nWnPNoG5AfhnkHkkcsCDLtXhwJbAlhUIZWUBjWawE3sDGGn6sjssZwVlKoJu
7bUGNx2AnR4dC8rKTKKenP4pmdnUaWUcUmDVhgAi4FranT1zrEG1MT4y/XUzM67HmXatDuM2rseN
Q+ZaiQi/rfnOgpmQ3X+lZSfv6OxmaLRw5cPfR97CaWDPcWTEAVCqza5wcI00swpV0xtamVWhSrHS
IxPtX10bjfucdlW/ixtLb5Z2og7ZYjD60cQvU5DCkFJTB2FVeaBCDllbVSsGqS95KCvSI/Ezoyzh
8KQj4zF6ddlP9YvttyYBedWXWdi1GP14OeYskUIbqQqt5Czmqa0wxJUSAmdq9JI/Q2UIrYQP6WA+
5s4AfX3obsqWnEio2dHSrKzXuKy/6Aycp4Y+bifST4GN1ISj8UHt2DmTGuQegplV3DcGQswOMg4k
IIbDWzOUj05iNWtDMdOV5TuPYzPHoJo227zoX2tHZwCZsnWMWYNALKodUjzc4JAGylWAQQEqDjKj
IX41B3rZGc9LHuDSnPZ2nm/iorzuDGBriF3vyjnAwS6CTQp9EC+iXASqfe/PjkmLf+Jo/X0wVddU
fN5oKvVlXz9CgK0X/qgUBE2KKVryR7GHwZ1SbKptziuopkJornLgQNAjD4jD6kx+ebBLQuY9dn41
yfJiyMsvtotVLzUJ4FxXYyJf/ttXvu4rvyzDILA0z//Hw6z5936p+V0pxgZiOZpGW9R2abl82FsQ
YNKm4PQAUo3Kik99U1mKP3RmxSbCI4tw5vcq7VvD1P4D2ZOFoH02BGsqkqcf5Cq/kq9gKGfv+EtB
NTdMEa/MLxybi5j/Kh/3Fiqpwg4cELP5EBECg6VhKcFAgc/L7yNpOCs9hkRe64gQU07E7DfNrrK0
L12hMkbMsv6ix6G8QCMAskhtt0ERQGHWLKiFBU3GvI3XLZjEWMSfe58xvoY3eAF6CJZww8lRZJaz
UMrRPYVVdmdJBqpVb3BSTqbLMRnvgqApPDW692PjNsMyfhQaIaZM1eiKRiJgHdSIS03De98MEhqH
7rWT0B4cWv2N4U+7DnSlv80rd2vbYh+Xw7hWAZhhNDlXWn8cihJXi1JddQzj0VxvLLUmgcAaLjPM
RzDs5UKOxaG2xERujLFJVJcmYVC/gEOiUAuCbiUQInhG5G+IUbghcn2N78da8MYtaimjXZeKJ23W
VBKMe9UFQL6cKYCxWDleO2TbsIg4NCZtuExlsnSt6exjpNpaisZX00bdPo3Qk2ZWcOWW0QVRxhU6
GqCTjfIax6lLVk2F9aqINv1E963yhUTyThyuFqLkJzx23abOyQjowhiIAlGxwoBpjHPMvl/Ur7pT
fBH8cTgZkW1UbGuhVj+HbW56tc/sxRQNZEpjngDH2oIMPEyXHXyR1KRLPNZbWmZn3L9MxzPtUA3x
sFIrrVxFFqYjLPf6ZtL1W3OaCWOdu3QU6w5Xo3tRdfE2gYm/tCv/Sq3Z6Rw/WftRukc2f+LEvGxo
g6V9vi4Gt11qVnTvmrW5yQfd9fyZU+amBFpG4jBW44NeZGszJ6OzH8tdZnTnrlY4g0z9G1ceVoOR
vnWi0o70mynOtPEUD8Ro+El4cFvFv+wM+VmTvligo9V3ZFfZT6GSiVUlWtcClIk+XZ3WVkJOkYw7
0IudQqsyKOrrAVX7HCY3x1gYJVgXy3ZendLpLzrAeo4v1rIcto3hr0fL6JeGLx9dE+ScOeZbE5vs
qsLRwF62lT1wsdbiK3aYgClZON0ZZUGDXYdWZ5TiBqXnvtHGtzSskqWWWOfUD4O9PXWrKSMHAbCk
BsF6ldjM4siWeI2n0t01hXiFxxEswLyxO8EmJym4vm6gpfEiHnz610sh+xLlhcTeKhQkS+YK0c2c
ReC0C20Y+cRAMz/vg3Eda/6XtPRPqRwJrs0a9diFbeFBSEenO0GR1XN1Nal2tQ1aJtRat0SzcNHH
er2MfP0xLifmknbTXIZkWB+MXlpvquont4WK0jTtnBEpVxr2xeK/3el9d9IpUv656jm85a/FS5T/
BIAxf/DPwkf/w0F4j8OJFs8Pm5P5B7UGZmgaiDPCGgzKN+PUXC3x+kLn52QPogI707fNiSg8C8fp
O0zjXwX+8G582Jhmaa8FaoJoAgcXAlm/6D6/7xGKtAkc/EfKkVE3oh5GK6o5vfl9GFAbpPaiNWB5
IQaSY8ApilpEnl1q52tddESfAcTLxTkI3IyUOW00lrAW5b3vRGJ8gfuKkiD0Uc7oo7mJK+jRNesy
nFeeP0SL1AyOKrFm984GR/qw6krFXbM+PORlor4EVZp5lT6U6yLEN9i3DTCJYJ4vFPy3hiBPvk10
+VTOqyamT2c50am76HNxEcfSWPS4payQkqZulU2rt58zoNGLjrBMCn/C0dNZIK6MhzEo3EUGiYHO
ZHfl5Oq0yGQcrDAeGxs5jtjYMSJg2xoaWNm86CMx3Q7TvIXuy3I1sejoIJZOcY2uLR+b9JEJ2Xij
afeRWdOnUZKrqArCJSrZ63iCHQxW9DCqzDcd5id9VL7UUU/xSPvQbNJm4XRWvxLOMG2AG0YXuVBI
HDKiYZeMtbqqrQq4qmSqyNRFLfjOHH3Bz6IcoTWyoQcurZjCgLhp0hmsrUXSFcP1xGwHcLGZXA+d
CvE2DLduwhSU5h4fSqYpWjMnyn3ysHNC5uOY3ELpzzmduphz2gcEYLUjaM/GwJ9xjWH/vbG47KaL
41Jd8WDnu1x2HROPIrrwbcU5RCYZDovG9Q9gtmonP2hV619rbfiYhgS5h7n9HEhQ6H2d6iscL4+J
1gQrvym/MIvMPHLwLlmAM2gG4zFVkwKeZPYlnKxlZQTNccxMYmyEKTxTOonngvZmT7Z3sqvEhY7A
w+viEeMwiibC5zZmyP+40vG0wWqdhfmOX6eN1fMXaN7B7BIJiXnoZnbiaAhPK7CZnSgOktmrNs6R
c/TTPL2myVjGaXMJBkAFTiuNI14rpDKVBfXNZNKjFMWmkDMy2ZnaDfkaT7OjoOEIRc71UF/0Aztk
2gXa2jJ95yqB7a5k7qtOPWLH2XXRtne+YhzqUujI/pTyalTAOOu2ZDpaTIi6cGZkuChu1dj3V47z
1ijDPkrFPjLF5RgW7krE4aZC/2kX05p7PiIwvLQyAPOdsre06DILnRmHZfmH3CkxLtslJ5iQjt04
BLsqTHdswduk4kdyQnbhPooXSiwADCfOc0ARBFozOrJloR7LqbGUpsuQsFWeZqc78rFWDq2ijHyl
vkhQ0DpfbIzTpDuuGf2vcTl7aoeBIdCx4uBqCMt4J8j8cPvB6zFKL8LGgq48pHdOqh6Z7N7Znerw
kLqFffSZtlz4zvSlrLSzNbU7Qaq7kWUruxkMyCrD3lISD3vnc4jazqbdSSlfEprjnOokPzuF/uom
vMNZarw17ng2sYAvs6rkiDMR/GB6Jb9xFsMjNkHXBFnndZNKr8bPXnDY3RI3SPBYEu9kG56mYjhm
cycknk+axVZkhcdCygHeUq+zfLji2OTp07jL/XapcOIG10EsYLIVtuplZby162FN/ufAShS92E4L
9BjveOt6CdhvsryOeak6q5xeMXErKJDb4KQT6xh1wXbgVIGJ/JIwJYKDoueqhT6fDF7FK0KnzPOl
tsRB5vkNeVvpW+G354GhT+yoiNRwiPT5g1WJZT2RAWJyDZw4pq8fSYy+qRt7jbaBNIHhbA7unLWk
cxJMa4yL6iajxoUHxBPIbAj95ppYwi80hq9Y4dYjYNg6dJa2M7i0tMId1qAtKeIPqtYwh3VubLt8
cEJyu7rxus1g2pRvlUqIPf7OhTBmRXa5rv1xBuGBFRi9wAivDcKNi844M5H+oikNgyJiJnvkAKq6
Vdxu69TKWg3Tm9gqLhtaOXStaU4REWNb5cpXiA9R2zWv4lXtOmvNqC8Mf+SC1Soo+cJIllwWFbJP
VC4vfVs88EeZ6wFGyFibpcebRHpyiHA8J2Mgr/E3KXta5LtJEauCgK9FJ5N1SKQxmQsE0rnwrOEO
ig2znHv00U9NxQCqFDswV1hWTZSKjdzmjrWjz4N+w3I3BMg89FK9L2R8hm658c2BkXTLd+eugrzZ
isbi6RRQUbrrvEj35ZR7ndLepJHYOoN/ZKKzy83sovO1A3WOQ1xptM7S8UTq8o4XDGm0cx1L99LQ
hsfSnqd+2L1017nzJTFZsj7mtXVuB0bKjlbftDObHBjwQnKSRNZ/mVoB8SeVuujT4CDnhWoqHsak
2et0Nssy5M3uEfH0Xt3PbvF875f5nSzHC02np6Kb4VHxsXRhwU5vcP0P3qQ3F1LFF9HTZ2oSNp4Y
xLN9FzeZ2OmQoubwg0fTYlMHzBJT6CaR9mrTr8+b6iGR4U7VtSPrLdZfmeBNrPckWPJepgTkTqr2
GFp1uXaN5DYjBRWXYLJJDO0UJ05M5YoNjXzBNYX/1k9s5NxKtoqmAgo7ka9BH3jaqC+TFItAmJ+G
AAWlP9DeGV9LpaSgjZ8b5mUzvYY3gFzPuBOrtg1WErqFp3BCSJrWy1I2icHNtx3jw64jKy5SN2Qs
rSN1WGERY/1Bbo19fFoPWb6Hnr6XDcxJC2OcJPGAaggKFoPVEIRDrps86ynvKVZAraCObg4TOqpa
li+tw9QyrinX0uHQmfjjMpXt77sj7U+8Nx9bF19PiCjA5pG00FzX+qEt3vRSyjbKlaOabaM4WRTI
5cPf4QD/zoW06P2DeVGJmnPIb/h4DI2UTLUtU1OOg/NZ9pu+fRyKLwFuD5zkv76dnx14v7/SD+DB
wodjPvlcSXfAjaCpECQ3TrsCgXX7FJG7++vL/fTb421irIFihBj4jzdG7d86SE6DU6c8Ne2+Cl7y
9Gtr8B/NUT+7I07LHJa5DBCaHy7h22JQ3bEMTyDD437TjuMqDfFrBtgbEIc0V//6jkzNpWjBDMjQ
xf6hYuhyu9ZHtYlOcLYWkcGoItiUyW/uianOd/2y94fuw0Xmf/+ddKH2lcayfS4SI7lr5CWkkOX/
32380JEjnhKdFMDFkywPdk9oGPAUEf3mIsytfnkbP/w0ZQKoq8vq6DQAi8UV4EYnMwJeIh4tejv1
UQeZ/+9vi1QswInMyyxYHR+/uCRyaN/FWnQS1XUFl4XOm/C//PtrQPSgwW/wHMD//XgNAg0U2+lk
fKILsiKGQ+QwYdK7X1/kZ1+dAfsRialmCP1HzGnRh0JE0RDz+zzm9mVIpRizGLg+iKS9CRGh969/
fcX5mfqrR/v1mfv+ij/8WKHLYbbUxvik4jwG9wXc6DeLgfZxNZgpJ5Ym4KDMJkY60nO5/+GxLkxw
G4OWneJLDPE7Ns8DKMKVdR2eLQ8r0NrxlPWv7+rjJf9+Vz9cMuyIHoEgEZ86u6ZMjha6y6JQbH99
lZ9/d6iBVXZO66t987v3FQuOLZoMir1foSTR9nNy96+vMH/7P/46pjY/bS79ega+H7+6EqSdNtZK
fKKbBrZO57T5FJkBlv74N/fys2/s+yv9sMBREZO0Iuz4pFlvoXNt+TfV9Jvl7eeXABamuYI3Sfzw
qEVa0jnmFCSnPD9aLY10dE56a/9mq/vZK8TD9udVfvjpUXuEDZGfySlKXvA/+YaykiZN1tZjHKwk
m9T6zW/0t9uCvIOyzSSLCGEcfLWPvxGperhlRJGemm5DJlBvr6rp/OvH4G8P2g+XoM32/RsEmJgv
NKzSU0/4h6ZgHASv/f9yCYCw0IkQK/yoA4iHIVMQY6WnOn1Rph3z6t9c4G+PMveAi8jiPaHxBpHt
4z2wdIpey6fsxDkvay3E1buIkUHuvr3fyH/SzZmt+c9d2Tm1YfEm82f5+tPW7Pzpb61ZzfxDMyhx
oUVZxjtK+C8JJ6AVVjPbVOkiEWvGMvBtbmjxb4CVQWaBWECkAy/et9as8YeDaxEKKHvvOyL038wN
Wd54FP5a9SwV5ALDQgBZJLvDilF/eNzdwVJI9ESLrmAeZbwA2slBG7+zO5a/Thpjhi+OnMqFDdIO
gFoyWagv+6qO78Y4IU98ontylUvdXOYVjAWVkbvaXRPPVYzPLbJRomuCoZroHwxpF+uw6OhjG8PS
eJdEJEKrpp2qujKoN02ppOGN0xBaIy2IH4tcETQTIBTHtxkjqzuTMGOd+aVK4w3dGFsNaOV1WTJJ
K5q0BuDJeD61WvEp1yhhYe033aeSdOdhYVjlNHpmPmmpp9RV7iVGyUgt6UryVuDOKVZpbaE3E5iq
dal/FKoWOIvUiaPDVBOd42UEIASeE8F3dwt9lwdq5mVG3B5URWRXws67c6bb4UrSMza9mXCO/IQ0
mjatnCedqMaJaHe3wGVFaDZgLieyhBdTU54VoqQmb2qyaJtKMb1kumIsw8Ac69wb1cqSWCRcKy79
BcLHpNg5ndFsLMkPwkxmULrHJkLQTXAugg8TCyohupxm50jd6WvALrgyWGGkYzHgpu8jg41Qm4nS
vIufDDevr11Ri3WcYshepLUZ3uIGuXKNuiTYWuHbPOVK0AH+qmeBTOAXbbWDX9P6RyfS48ckrfVb
BnwpsT52C/qqz9Uo3apGTkOI0FM/3lWajIeLTNCxfbN7J3hzDVds0L37ZAaGANAiVw9pZNcoJBUp
luTr1g8kZJTyWJEjiGvtf9NE/lu5DFaR361cSEV/MlCaP/lt1UJJZ7k2tR7nYsZUH9QOGnHT6NfY
ht+V56x131YtG7U6vgK6I6x3xmwc+7Zo2TP7gwUNwgurDSeGf7NoGWI+V3y/aFmQVzUWQUvn7K4z
Vvq4v9UtXO0ucRSS1rIYSMGug+yGxMcGK6U1BYSkcavUJnEJYXatwhT0ugiPS18l9/2I/jSNm90k
sWeXMRJP1baxxfbojasKiTqa38//w955NMeNpVn0v8weFQ8eWMwmkZaZyaQT3QZBSRQ88ODNr5/z
WF3VkkbVEzXrWvSio0Qm0z1zv3vPHYvpsUqnVynqM9nhw4L944TLp9lYcM9CaX6K/GZX6EVKhjK/
m4y0DpibfHH0JBhcpw1CU9z60JFWoxfaTJybJzG53yZy69t0lPeFkX5SNL7Nki3cbzUK2cnGPlu9
7NeJLtdFRmKemjm5ruksJtrGHFdrdmMG1tOivHDV9sUVc5IxWdthRYkIZYHaOpysV5kP2nybjoM3
bFE9R0YBVdtVD32dColtQ7fIkEkcABW8Usn3kovIDL1UAI2qZ3Mz2FCsMk7BfTrTc1XmQVGRVetF
+rVz3fdQUIYcJh4Fs901K7LRVi7uJmrNRp8IN7ine3fS4WcUxmuat9pqInG+mYntBDQlHp2wba9q
UX6ujTiljSyPgSDb8wClzyks47bOItiosQv/Z84eRDxsMpcOFoIxYj0J67mkq5IZN3yTZapOZGLn
QHP9TemCS48kGJbqutXbXdHE29x3ryY7fKYgncBtZs4oMHhYSksc9B4eVMzz3pgdce3QqfKVyGnH
4u958qIuuRqUJ0Uqd4qnfCrhaBaX0BMPuZcP20LiqfDxoViUcNFDONYJVCzQBpsmdxwIEKN3Xoz5
VrR4PoTTKq9H5W0aKe6VLk13GiWvjHXqyN9qkwEsy7mlX/oQ5ssuGyBFCQb9Qxc9dF5xmfxhZ0wG
4wkxUKvIOz8S1krt/mAV6ROV2USm4904eo+FthCkaNr91EcPslxOzZjcN0X/nHT6Xp+YD2Btljge
ccMsibmjvtTeCh0WwwRtlby/OPKWQy7s03e6/Nin+Nu0mSgC1YqE0gwAUou7Mxf7FXPzJlRAta7P
z0sU3hV2LQ+z3VFXoFn3ST9+LjUC1+1D0+t64Nf+bRSna9kOYN+Wq8bRH4Wfjmiv6a5Nmn3CRg2x
wzwDdH4t+ijZaa6zVfbOlUltK23DRNLAMPAJHd/8UK82ohjXi7NcjwLur/CeDGM8Vq2GNWLCmmN/
NqVw1iJM75covkAHxn86KibJY14LfSOMeVuXGeHyTLsOhb/DtgqDq/MIepWfh5CiAXMMT340038+
5Mc855/p/nHs+m41NsXBi/rToKRoi9bwaTIByVY22qw35saWfrmZLYt65rtYcFVfaU70kqrGUJuU
ZmOLb4vW7rNkeGn9cTv6w2b2+BNM77VjiFn0FsYoIhmm3geYfGjXlc+zyyTAKJjgkpo/eUZ/5+k1
ku00wihpzOekbw4jAnOuDSEzZOvWZGbEHffWKH3SN8twtql6Dia73IVl4x3QIYB3urvEy55SIzsx
ffzkMg1a5fDruthaGzI/x2V9BHb5RF35PTRSdwXw8gvpkIspmnMyGJcpL/pDNOtUOCTDPjfqY+0b
d3xIrqqe7EDcEIQLxRZEAtbGfngujJoRupVvh1bcwFQmHagfNZP5Vz1qB2uGqcT1sWvgxS/jfmRG
ROPlafI7YmrLbTdkJCCKmnL35jhJPrIe7rOizT+FonzNGHVjIz10jfXOYOUqrpwDx9rHoU3uba99
QD7NcfaEgJxixoHe50xIeHZ0OCx0FRJ4OIGBvyo5MZHQHRl0ZMdkKV+n3Lz384iaKA7CelWLICX7
aw3JtpTyYkN5S1zv2z+3qt+9LtxT//pscv0m3/63B1Pp2X+eSoCuO7qFwZFjiYUy+O84HBBM1EIu
UygDSjTmwvTHqcT7TXHdTc9FO1J8OX7qj2OJ9xtpAJ//YtoYYQTo97/hwTTFj9duPJgM2cgJKByZ
DwLiZw9mU7cFxmRjuUjZ8mkxOkpvfWzh0p4/6Wm9C2PvizVS+Qrs6DMsIuK5E5GuyTq2dpjTKqx9
UkE4Yc9ne2GIYzPSpoqgI/WVXJwk386hdyPyiGZIvTeItYldNvnn0bRPVVHtvMjf96lxwd5POSdJ
J1qiKKPsnPHesat+25n6u+aU0HPJ82SDFZ1dVdiuwaVdeTUmOYOQFGnkXUGdubDBZUvDe3SledMa
+cX2GZz1RPcY9A35I7mYXTiRV5pt/zZPI3rpsqC0FW/HxnkS5ZVYz531PlZRel6WXuLD5XFme9gt
WgPOu6cy29H3hQbLJJr0Zh3SBrHpfPp/mXLLq57Kko0hx3LVG66/zuIaeJcNUSX/HJH2Ug0VJLbb
XV83TLLIfO1YeKatK+JtNWLGK8vNhKUvwJ23bqxcPxhzdTQFdZ+6RsIJA2PgASuhrds9jVlVBf7o
3Nd64sBDbLpAAy8FabGxLiTzDuXYC8hkNJvarZ0fOFFeO8AgzbLsgrYLXyl8e0jpcj8kmrm35vAd
CatcFQwjPd8hcmSnI5IoMXrNsvZVHFJJlhXigXWfWfJkH4qynNZWJO8I5u7xwrhBbGNtiLh6BlXS
hmhEA4XrgtuVTInnlW2/WWLIOnUILJle9S+Qqhjb1pyzIMsYd36te0x/MziRHrspONC11umsxaPw
MyLQRoFpJiwPTq/ZQG6olR01LztIz15PrkV5nmWZK/pX011Hk3K9b9qoCu+90dOudCf+GmmVpH4w
868WGbM3582hqaOHVuBfFx2oHU12QdE5mzbu7c3gEewYyupYes25bYtv1YRP11rGo5iGZ9mytcAQ
euyNGsyZ6ZvBEMrnofXExm2XU19i4y2EahRPb5fOG4IKA3432ueSiN4cao/dqIuATvk98gJ/dWRd
3Dba9XQV2UlKmM7KqpWftbvUNU65g0tM+N0rhZKXQWSf/ClmFwEhEBm1vRuIh3Arr5NNk1btNonL
N19k5ziiZySP4g13onOZE6dTjUCjq31NwuQT7Y1UM2lRvEoN8dVM5COXk7VGGn/V4Nt7GxqbimTt
ZbBUrXdHN+AEKwGPdnbrZNYr4vmx1d2v7tIeZ1teL7oFmGeh7aeysTZXxrlsil0uasrJYfaYMHWa
BhyqZsR3QyTomU/mV8N9yLSNNXtHmSRbfyBKSaYOJr7UHpIBzEOX5bfY5rSA1MeL1DrYEH0YwFS6
iblCBAT9CHiE64Iac01z9ovy0KHBYKZpmP82GZyp2D+7vs/umV3AKAW9xbtuMB0f3CnaZcXyClW/
25KvCRxvzzEzXeVaGgXdUJ/6cTlgff6McQrytK6vvWL0VzJJ77vc/uw3uCD6CR9tWbuPkdYBxilC
vsS0+K5MEP5FzVq48peczFPJVvz7xPEfNUBtkX+9457fmy/vX3+x5/JTf+65uETV5oh4+Ue4Qbks
/vu/NLTE3wyLvZX4t8v05TtrKQjpn9mcf+65Kp0ukDZJ7gCMULVrf2PPNT7G2z9IAR4iKHsuSy6z
b+tn84CpGXi66iy76MLqmis2KSmCZCgs7cmrMheYsQO6JOD6W9/qqu3dKLj6F/vpcOB6sCtLCuiV
la7zHnGnsaUkw4NuWg1LU17Fz2GEj8LpyoydC9tT0YYX6L/p2oaBv5eGnQcJrUVVNl8mDdiZ7xpv
IYI84LLsKMVyUzqwm9yweZy0cidt/HK9Nz0uYvzqSPdOmhW/wFzkPpps+Mtetbda/xaVk1wG9+Yi
LfDC6cLZyLHLPoX0gWuWCYlEzF2QTfrFq8LbsWCNc+Za7CMkVdyu3n5wuOEXGdXwjvFiSZUTruae
Ogzw1VVVDxuGoulemkW+8RvXg7gROnzH4ueearp1actsF2WAHhaFfDAV/KH/4ECMCgkB4BgrT/1B
iqBjbkbX1fJ9HAu5yRRSolVwCbgA0Z2rgBOOQk9UCkJBaZJ9SRCQgkgHUTHDqqgVtCJW+IpSgSyc
2u12jYJbxB+ci0EhLwzYF6GCYJQf8fS4GVYIBhg/P2gZqQJnEP02j55scLAU/szaD2SnTq4slxPG
gZWfshkDKt8wu5n+Wa9Na9330ACotTnHpC370CP0ojSBUk9XVrRshV3cWqkPsg9QJUtQk73nVf9U
t9mpEiJaA0rc5V2WBeR+zqQZ6S4x+CAVyDGw76a4vJJG82Jo2SkdyTDWBjBVanE2nToByvoGgto1
knDfBXHnZjd2OnM9NE1yZteFHafLmaaLciWycZNJeqdMawhx58aHvkAVn0LcU4SwwQ8s0ZdlYnwU
CmKJ0sfpWSmYi+2X5BMa+wsO2kaRZLKAuol2bcbTpifx6RYkcqZu4oRW2vj9hjSYZ7bOEHQ1x8Vi
7Qm72msRCjtN8Jsp4V+m/N4Yy5iLESTIhA08zfZBFSwWhLk4GdZiEuhxo9hkjZ3gScvaKyG6IzU2
nElsLLiJ0oMEwpCjFKIQqWhUtV6+Uo/CsnU5EzF+V9oSTnafHKv7XoTRV7STPODbFXRKkUqVNKU0
qnnA1KtUq17pV5VSsjBe+VuPj75QKlcpmi5ah4gS6FIfENIkdavsqlRy2D83to8bm6p+++v94z5+
a7tf3NnUT/25f1DcorjPfK1t7AjKO/Tn/mFynWPdZlD5B6fkj2iC/hudLkTmVHhOeB+w6H/d2WjX
Qr8xHXVrE1gcUJn/xv5hf8xaf9g/QKXwWxi3q5iC57P1fT/uNdSDy5xxryBVxVelp7fYGh8RcTlj
1tpFxvhC2iU5ZzmJ42bmYDNHnH0XHY1u8t6rPjmzQT5YGVJpqdO9PJt4ANuIXJln7r283zpdCHtQ
34Py3RTcd+i7LdaY1V5auwucBGAKMC1aiuq32AV/0vXvuEI3o29usKgDftQloSzrC3PEXTT7sIzb
CuteUvT7VDb7xvePLWmCyrC3i8HhDT8raKfh5FAV7Y7D9WjEPVxGK6G+2njLSY8aQjzHAtugG0JD
k3Ux7xo9B9Vhe/HKctore+qGrRfKY2doe9/E1hin9+GAcxCpayQSMEG6xhrRenILBknsC/64IyYb
I1i8kdhQSQMZ6auLb+ZfaTeRu9mg9CqJuC9qc/jQ5BUhJND7ohxxXbbpOQPOuU4iI9tQuJdD0HRp
y56qmVyWtyECTv68gwKLCaizG43qynLNbnkbc3BclZ5/xbiPrIjdnQlePNRxjz92uk2mRNv0C1vU
DORTLB7+Xsj+mlHeskQXK8vzX9JUv5tbSWoqrFhLoMYGs2M+LEXyAoZ2PeYI6KhkCJFJcsJRdkxr
8Y0AvrNPlwmdLOnnTdw6TA1D87bv4qc45e+PONszt2Ss50hrD2ubg0VpWiii/XuVZgcNgtgYcQdK
CHDMne6QjeRxxNSSp/ZL8pYcPebibmq4QlYU06wWs99FkQsurMTC3s0+EnnKz+UEvNd6kVk7ODyX
qvKeAO7wvrdcC/SpZr2VL3qfnCi9ODWJnxy0SGfDd4jtWUZJg2k7c6zRTFbWTkJvqUBr+qea4SRG
0BZabZtcEyV54fwEYTdnk+yTZj1Z0CbJ66/GAY1bz4d9rYsbwwAXa4+qPpXq16g/tKX81GvDrmpL
FLVqy/jDB2WeAMZrBx9g8MhcOY8F+83wvNTJezsYgZZOO0IrM70M8NxKB9rqzLOa3ZuqHjn2+MO9
l+VboKX1ct0N51BLtrPwD9FUXnS7vDGGcJ/by0XrHX89ULBoqGBrj3e1r+JlbSxNvnJIX/IBBezq
aOS2ay72VckvLQtbBh7cgmC0eoz7YvhG7Jv2xsIkUi/VVzVrP0+psx6JHbjp1B8qWsuCsPcxWpf2
IdZre70gCzcohmay8kp/2mnaRJh2MjFnY/Xe+ppnkimki2eKu6uK/rNtMVhfe7uzSElkXytzeGZg
/oXxTrqpWpTUyBxvaGFSrFEq4ObO6TYsR4MZ2H1pNEeySd2RtYdBgyddKIV1TflJ0R3sskidrdlL
x/7EXZe2p9hqKH6yZsl3qS7pOnEnmqG8HgVm45WaNVEVh5a2tzx9pknKxPh8jZA99/e/N1CNfqOZ
x37qIZPbjEuem8UyhkvWyX0VEU2V6Zxv6Lu0tkliR6taLG96E921zKyCLpuuLKvst43WTDtPc442
+/8aFCRBq9z5UldVi73Z4TqeWs8ZFsAg5miC7LE4V2bFhzkriUPwz8Gj29WrDK03pkjGuvNS+j2W
+lvnxwO1I5VYWSWHegE8Cr9zMwVEF84zSZQp8dNtJrUzLZu3WtgfC696HZIRRd4k2guUuNWxMESS
g31rTlfxfLDFyM3TlW9JVt05as7YGXa8oUiArGk33gsjvQ5b/6SlM7kj49uiC35LZH/LhuKRSfha
W67gGqRry242YdTcZRNLj4ipA5vWE7OF2D0LGLtrf6oUafIQo29z3qGatEaBRoQprh03W8Bz+OSk
NZJx7Jjr0bUXpv/9eRHzEQZOGPAqyL1b1ggeFWQ4zoys7ZZcu37ibpYGUnMZag9dtl7s6MloOIt5
Vgq7RuM642X+yIODHfQzf28uPoVPE4E3k0qdYAQXdCkmSWisGk/SA7jrefDHI929EPQ4g9Msggk5
xacwlSYokqPdm+OP8OGH7H4ml02+lex46LOBMAL5FPa4UnugIHS/XqVaxt/YL8997cdbvnVgzLul
WuFWodag6t5b3//EAr0VUOWzIiagEZl7M60+1QPKVuJOASLIgbT5zeDJO9+uPidsdCti99cW508K
jsJgKK1wFy56E9iiOUT0mrHqjtGK2TJdPFl28G0oI0NUBqln1LvWpt6VcN0lS/obTiLb0ugeh0Lf
Ey7iYN0T85t7a9pkohg2QvfqtQ88eaeB8Q5cgtRgNgbaXQhbOAbIUholfXIr+UXAXFp5bnfVlwhg
teNfue30KWf0tpkrNkGWrK2WLNFOG/VjXvpOAJ+dui6+aXQ8GjeOjoCktRL3fim4xxp0jFEgAUfQ
rEN6FMyDZSU3QNQeNVFFW630ECGTkAXOHvdLYfCVIKhk0GRNfa5ZrJ1q+lJW0ZNp15e2dL8slkkL
ndjK1nmusoj+F+msO9TgsJDPovL2XIzvR884mqkWmAZ8M5HH5DTGN5Xd7F16FTNKyPvkdtHdeuV3
4r601CJOMwVrfRz8c+z+OHYbWCf++th9rsruvXmffyHc8HN/Hrw5KOvYaCjiwzMLlPe7g7f+mw/v
CO+U4/yrMfGPYQkWDk7rao7xo4Hjo2Dax/KBI8TB8Pm3Tt2uzYXgJwMHnmtqcz1EIIYy1k8GjkLm
FikJmNuFuQxbKULA8cJ9cblsVm7/ZHTOp2y5DdXmXesbg7bkvos+MSCHo6aQrpLgTk2zMuxQWpbN
MftUqNpl2OzpbqaJmYB6B2AnOkg6mkVU0pzVV8SMm5AthQu1IfRXFH75WVclzyajh02qip+XON2P
SePsWaivaK1PVqkZPxUkv5gXvCykw3LpNYC86zfcb7eAz94YZj9PA4coEoJnmOwVZP4MHGed0tXC
wJYZ4fA0C+816WRyLKUeYhAAMidk+inr81cB75BZfnQI6Q4kpbvsl9p4Hdri2i8bzqLuPU6TjN7F
2gf8xiDhUx8nL16i7UdRPbWNFl25IHb8FqBPOVzrqaCudr6e5uRaQWvrueGuncRfK7CkUQf4qXbG
a1/xWavEOFjVltz0Kp6JFhr3UX1uSFB22Qv+DM6OkvE8R10kqGGdW+TeOHxz+U8Nsl0Wg2a7bdGa
/FIZJMgxaSenqMZ91UGKCJN+M1bpHUvJyRHoXha4m2DI831d5V8bkkfrzmiRFBqxayC0B1S53DAP
oWoAy58Ih3IXl2QoE2LGecnj5ezINrcq320+i2VO1gwbTrG3rCsyU5MTcrDsmeR0ySWX/nUhrbWT
UpBYzelpjKBZWe6aLRM3o0UiMxc2VgRFfo1IWXKUHXR6dixgJm7bBknCECBx4WjMiU98t1hu/M59
I7nL1kFlF5CmIFTmHgOXx6jsPi6+Hwf/z6yMQFad3pXKGhTzzml4hWw8Q7UyD+HT9k61plPMXJ0l
/iKa6R5j/EZSGY90ZUFalBmpUrakWRmUwD8dmElU6wHvEidvCWMKO1OCrylUBqdsmPY0g1bbJjK5
JMwO5p3qYBpJynZAMJYBNeD8i4UhJmNwbes50VAypnIg1T0z3E4Zcud6ApdihKzJ9JsA+RXNBifB
WNxQ8/GcQbnHwDxto4MfRzuGrRygGamPjNZlr30i03QQJfhLRu+V4xwyEV3g676WjOadrOZFXcaT
xdDe7Ktzr6b4BCNvc5oJqAemvsdZl4z7pV8ddOUexwZA1vMqsvAFNLN5lBgFRgwDQjkH+oVBYdQ9
j8pT0FrLNsFkIJXbYMZ20GA/sBN5xFsBmmPGAKocCilWBQvLQiRdEq8DaXgGTuTr79uqfYowOYRT
eu4xPcTRfFeKHCY0X/osj9mzkqcIm4QdVVxxEw+LS7lzlJMicbuzqbwVyBQohdGB4fRtodwXkaiD
GDvG4ItnofwZnsjztY9lY4ztU99wcFqUmwN79jOy5d7th0Bi9zCmhe4oDCBm7rwuGEJGDb0Qg0iO
UaSkQK5VxpE2Ag6HVriAJ04+zCXuh9HEUJ6T/MN+4iknyqw8KZpypzROfvSxq8B+PkzKv6JxiY3j
+GJhbAmVw4UE5BmAGjFFZX5RLhitya81bDF15V83yifjjdO2UM6ZBAsNw+fThKXGxDyjK4uNegth
E32WmG+o396YmHH0SHuaMOfQpHUtsokWBrfaNNh3DOXjSZSjh1qjda08Po1ub0vl+qm94lViA5r9
gooljEEZBqGslOO6xTJErPmqxkIUYyWie+eWHhI9MKwHN6LzIVk+p7l7D9YoOpXKjSSwJcmiPGvK
pxQyO7MwLunS2bkYmSzlaIIoaQHjxOWUYXcyjOg9U/4nwkbiOGOJAoSPmUeXuKSwS7nKN8WHQoKI
x0vlRGLfYq5qMVnVmK1mTFch5isGatFqwo5VjsmO5/wQzflTB+L1MFk3WUbeFB+XkTrc4YtpZ1vV
ZcTplSjLl+cMew0PWLd4B6o1bpdcx/zj89LoF02ZxmLcY0Nv3GfKTiaQuNdeo2RtfbyVpnNuP9xn
iKw40XplSrM//GnE945GCV2wUOa1uHborIWwAGeQb+fCVd+dV44CNiEB75tp3rlR6d8AK/egAIB2
WrQE7qrCPUUD1PChLz4PnOYth1YMdhhACxQDrKWhRFqwaVW3D6EWcbXh1l0N/nCV5iDnam3+Vja0
f/MtXmVzmQVmCpAKddjb2Hn+NFSRsRYKW+XGULL1uIVkw+21CJoiOjHjgWxV691zqrucgamy0Jik
jPZtCzCX+PCCej3mlgeTqqD4W44LvFpdO8HouBpkcmN42daa0o1rLI9FHd5FNUXyNeRh1ywDI/f6
Dffn5xAbpQrpbhod4uiQTVyV4YGbXfd5AFCoZ94L7svzMAKMAFtX9MO2w96ZmO0DafF57bnxGyvr
ozCbPYSTi7Cnd4hXx2LhZfJj8sSJWQWtZj7TP3R0k+IMLckMHLfAIkhQWZKy7tmiYfMQcm9CrBw2
LUDVHRhe6k6K5SAj52RPyV5vIFllgJL8cWVXIlsnLu2fTmre+mNx3yGmDRVUV3wFD5DvShSe7CiS
Eae9dvYtPeAohK2wPnShv9Oy+BC59TGSHb1oJhcP/aoBYAzObJt58kuYUledRbdTyEmBAfVmCbG5
UwJg1917gVqkYT3AIoIRrj/2fv7FMQXaoF8eKpHcNWiSjpEEvpUCoC2cfTyJ+zbT1B1G0wKsoasZ
s+VCiwEs1bWvij57v912KeaQ3ngmx0TJlj5tbQ14CPMmjhYYxkv64OY8e87NnnESUgMtJhs/I+oE
puygwXimFXkHM+lGDHjLs05/mEeGWal8qnRHwHSgQEYbkq9hUw3BlI49wxnzerTFdRiZr5PAvEBm
ZmNxr0uRzfCl+NsoCo9DtrzL2b7upM4zBpqG0MqHJapGm5syxNp4lvomnB3vUunVVWn1myr3HIpg
xS006lPekQTQInPbttBOQjumYKEl+RzPzos9ghTxWWkIiE+nafLgOozV02Qvt1JzXgwjDWljq5/R
bgecpf02awdU55Zn7YX63ldLTw19Yqj8eB81OQVKMjtLxkJZpKGIoRVJGq/WBmSIdd0U35ij0WU9
o6Za/L85gyE51PdRMskdhdOH0QULgSB9Whq1a9vW86TzRUsZCq2bCUhDPVvXepZcUxMQWKmFsy5e
2pMk+I8KZT4hTEVXYxPe+m3+AszF2quvu0MrL85idnMCZOaLF1OgIK1bfZySk29iFdHlIZLiwYg4
0VQ2COcR7VNUa1FkpzoSXDTBskV28Q0JGD+0aWwi03vIuuoq6dJjNjicM0c6qo3uedbrO39CEyml
e53q0XVB+wRkzvkI7/Gxzv0XazLvCFdXR9uEvdVTBLvFuPWyFP7Bb6lzpJm23JUDv1ir9W2FuZMi
AmvYoyBC/gEklAaRVQjzftJTg2tE02jWxstnywAebDraxtCTcEl/v/r+ZSSbi913FyhFFMRPj/8G
cCBYQQJ+/Pfv4pBGIsRkGGVySSW5rvLcUpboW/ffXSsxWAIeKr9vZf3Rz/bHg+C4IyTEEMdVt7jv
HiQLp8bU2jZBgD1oJUEXxAfroRt/n5795XPhJvq/n4vL7N4SWPuEp/6M7x4mFND4GgDMl9z4Nlaf
NPP/4Av84ve7OASEQfUrL9fPr1XrzxRdOkV+KUc+aHsvZKT15+37Fy/Tr34/aTteIV4ohc368e+P
3DJcUFCKi8e9w76x/1Ur+5evz0/x+9/f6+9en5/ea8vJwACylF6sYqcVQUaZh7u24O2/0zr6n5/K
Lx7K5dqt0oM2ozX/p7ci9yKxjEuVXUS6RzDvxEqiPls0SwWaXP3nx1J/9r8nbx+frh/eFvUR/+5t
F3pSMGXL84s0A6B2Nveubs2aOg/b//xAv3pS37//Pz2p0oUy33u/PxDtciXNmPGWfURtxfL/+Kz9
4nsJ44yQi8fuaAJ5/vFJmXZpVGy85aU1KSF4GyZ4tF/+89P51cftu4f4+eO2QHKuIuwBl9J7S8MX
S/t/fJzpc6AVCva1jvHnx6eQ1jmDCGZkl5QV0HQxC/4/Fi9PhyGgLECG6SiT0vfvPBWPnO8dvbos
7tvoXvewTkT3f6xdv3rT+RDjv7AgouoqwfT9Y/hxAaPSW4oL+BxAXl7NTPR2oF1UrkHP/+d35BeP
BX3VgFTgMklGf/rxsWKSIaaf2uUlVnfqTaJIYhv0z4oz1t3HQ/3jVLP4Vv656K7fYPK+w8bo5uu3
4v2//+u+yt9+BUFUP/Wn4Amh1+c66XAP/Jn+bvwGYRrFE6CEqRpQvneHK1C8ir7yJrGdfpe09X4T
JlMCpU+SdlMK6t9wGlCHwqfg3+vd7+5wldsVlLmwc3+4x79b7yyvSBtGB/PF66Lmxk0Z7xL1cp+p
pzKu5jHLXihqdLdeN4gzDNRwNSxDvGaSvzy6/tjdx6LKd8uCVgOEPNy4WtdsyoRaR9hJ17kyZw6m
Hp5s229uzanj5wdP4HTCMgvSG4Spxpx8MsibtV1MpZA0sy8J0YldWuL7pB+W1K1sp9cijqOrqlaS
mdala6MUBLAgCyNIzY++gbqRm29zWLhXPbaPbUcV27HMoMI1FYS1CR4fVllxyVB7mBXjkfIdqtni
hJplxyDm45sdJmFAhYyR0pSztD5at11ZrClIjpipypd4ikIuGQPxHHmVYrvmfF5mB2Pxx6BDoL6J
9Ijyk/kq6c1ma8ny1iaZscE5ru06J1qulqg3r+JYuJvczI80ULeHpLP8taAdlmrC0toMhhHuHR2a
PGNKKk4KSayvGm6XBjOdzAEvYYxeVpptc/XxiAdG/nVq4mEYZl4drdfiu2SU4IMSXb+0UCfXsztK
2HbtVW+krwD5JxhwsBiJLKQbHT97HNVLF4QDbxjTnWadK+N7iAM+pZZkVpb4CW988WGSV3Z5Fvn0
POGg1zKs9JBWKlzK2OtHfCYZfnvHdG8Ll2RKNk07A0e+kY6dj8yDTR/y8wUv+E2Ff19ErYtLIDlQ
br3DBWbje7M3oTL9O8r+n6sgQNsy93bL4tiSEbBVWKAlNTAAg4aoSXlJpiIFmLAvLhkDGn92A5mD
lOyBJIMQqzDComIJTkiJR5huF/IKxUJhiUOCwUfcxopOpoGpsyTjQBMDl3NSD4Dk+S/kIAqj+Wyq
YISPP25ywRuSmKDQi506lGi4Kk7Rffh+6wwosSom7r9YVFMGuokivaW4+kRhqORbUSTZSXdoG1j1
M9NFPHHm2tWb6RRxCT38sxj/Pn9ih/vrxfjSvJXR+y+mT/zUH4ux7v5m6SZGIpZbS//wBv9h+9JJ
3QANMWzD8didv6/iMH9jvuTY+Ls8j9mQ/d1ibP4Ged3hf/xam4SP8bcWY0Vk+GExJvJD6IfJGI2V
ZIi9n44HtaPPyUg1DOZNihXMJc/8QO/98KhNtTiWbotzQBNz/2ql8VUSzi9epC+BdNMvVIfr3Mpt
CpacGBF7U5sipVSvlpspTbC7AwGoHqOGWuNA90VLES+KAHzLBO42S0bzZuVh8t71Imy2RmnHnHzJ
EpRINiVC9Dbu6TnaQDMAkp031rCtmxQmJZXHPsN5lmLlNcHyL3EYpfak8LbNN82LppWd8UWzkxCF
1PC/hjg4sAVTeauZREbggaLJzBRkxQ28PSRFuVTkjgThnPFWN5dTPPiK4HKyqvygR/Fh4tqKUQi3
DEIaneHtQJcrdICTtJydkNpNOjDokKF37GScBtDnS9p4Wv1UtlUTwGvPNrNDH0UjaSVy6/4yde1F
yyawnWj7FGaQfiaFvIkj14E7QDWsxAs9N98ys7tPcnFPFqywucp35Y1WZ8vZtP6HvfPqbSNp8/1X
GZz7NjqHi7PAMoqSqCzb8k1DluTOOfenP7+iJFuB43m9FLA8wHCBBd6x3SSLVU894R8imtD5gqG0
/zUL2qlV2+iIuwnKdHgPapn/A95HOFVz+klqZtNGambOoCWXkml0i9ymfWUViE2W0CmwGHcOcvSH
CYn9xIXgPVOV1D9tPew3sQhrUIygCdVLgD46mncYPFbyUE40p+GCUKFgBdJaQZm9hfMNGiDXrytH
oXlJo64cYnsBTyuYxDnICGYWIKmt/MZwG/hYikQvaZKqXjWtBuaVL47i2fua/V0BwoGjcjPhFZFi
U8q9zkVD2e/kyKnCE1X284UWd+qtP7BO8KkpfP6Nf5v4J4z2/j7+XQTtA+3N+y0hUPzDnyFQ/yRK
DygSTzjVn8BXgiNJqgpzgfgDK5Ek9nn+jlo3wZIwB4lQFxHqF1lR+wRQFg4G2/5JrvsP0tGNutnL
bJR81iQAI3ZlmqqmvRXZ89WUHmKjqesyK8hWjqUYjdGYHpJcJWCRsFA7dRpVixjcuBB8acGNC2UY
AD0NNTB+pHPj0yZDLR+pBGllGKm2bsBpzjq1So8S10kuBy3tTptez4+FHsVd7dXdoZp00aWudJiJ
ZiFz47pHUkAN4MTptrtQwhJlXgsd72++TOSmP+tEM7TtJ7oTLyNVgfMdp8Z37FOVH5IWjBdqZWJw
5sAgQBgbY2zZxkkpN4sZigwqEKKQOa4PwD5JGvdKRRXlotlozMihESE4E2/UZ6CwYc5TPsrSKFbq
qbxhIzNpYbSyEbAZNmo2qNG252Wp2B1cwBLBGyRW0L4xzRzPJCMowmspFOo4RRuhlNOrZCF0pYWC
jiHEdKIGIQldCOxgp6DOrLEmNA6Hdp0XM6CD/kxuS8c4asUVgR0Tt0UiLg55c4dIhbhPhiDVNPzc
q3A1MFBzZqj8X4BEbq0DVVxLGfdTDcv/MDdRbV0bjPZXdmEH7cUYwoYbABKhcuCzMbt14sRDKj1G
n3/LUyGO//cRQQhCHTdB9dfp96DKt2mrvEyNnE/UKAYFIvHZAa34CpijES4Q3ncw/dzA3p8DAwAc
JPxtTDYpVDm1/KtnFrP+yXYQ2KdQRRQNQcY/YjG/TYwMqmOb/6eTu2HvstGLelGllirXHiRq75TW
Pbk/mt//pI9KU/RV8iU6f7Zm8yAECumY8KVe31GJkslOHg/9CbP1Veo3zoJedlgurKRf91pvdgg+
DtVyxJNkbko5zA6lto1LFQANbsW1Y66t0nIqNJjcYt2Uko1FWaOZxdo0JQRwdfRhPPA1CqoqFXyU
jCIlP4gQaJ/Tm6cIQo5qWTJvnHcIxi5LXy/mVdaFS83MuZhb8ywkCCA5SiBsMGpcBlA5mTGUWSgt
04T+6GVajv6PBHWphfbY3bcrWZpzokTX34n5X3Ml19F38TejgXozJsiLvjivez5FgBj4KCnGROr9
r1quHPm9T00MUhIV8miltcWS1uhxR4E9sWrppPHbz0akXRVOdVkys/XS9rNpJCks7wKHtEA/Lko8
P/TimNk4yZsXAaWAJO315lFHWLRl7BNaL8NeAXSrzCx4zIbD0pBv8jAENxBbQG6y4rQMzPAA7tBx
08vffTMajvwcqXrdhVhlx8qDH2fIOzsOaEW8teBqg2HWtYQ0qTeWqeaOR8WQH7WutOyTCO9g/ECT
2ChnUNzgMucw1oN10hna3NXA2njwAsaxXLllcOEbRUwjwgDjL0WrchT+3ZWySqu+nJd+cpmV9ZGv
CfA+8uJ3QxtVtCO8biqr5qLP2ar4B8119MFQnEoR9XVXfV6sOx10l4LENvM/QO+gVpG4D41LQx8y
SBc6oIo0NcDFOioG1Xo9hVe3LsxW2EqC4IgYhmex/KCbzT2pqL0sYzM50hzU+wCNGsF5ntoJIhx6
YDAbhvFvKdKhE4XKsrLlu0jyV6MpndSKdV37krAMMyf2AAg4wjRIU47HxD5v03ThhOosLN25mDYl
Jtx1RESWdlerM5hqeDenWLnK7RdlhLmcGx6AXucbN88alC+cgbI/NGL5bOShrYJ8CBSOUQfjnUu3
agXhX+pXmT4eay5MDutz737L7PGQUbK9MGCNlJZxXYwK0IL+O1ajk6a2gcwyZzPU4cxzQwWYZ2Ri
s+PcxJ56ozGV4kJWjh0di7ROPy38A4wS/Kk/NhpT+WKBhfiV3VfXetTCvwf4Yfjemd4KUlYwIO/V
AjXKohV3KXVFq3zOJf/KtpNrKRdu893C8vIfqtUfFo502PdYZVSheViEzjI24wbsLCS2TEH8ptHr
C70LD/l+R0Yof9MafKoHLYZPltERULE6OoF/Hx30UqLeZExmv1Z2BiG6Hwb3Oqnd6KJ3LTwX+liZ
69hdTEB24eEpCYgGniUQ88APFaqE5x3H4rjNjeCk0QWZJC5bF6Of3BQnDLNl+H0Ozrp24drfRzwa
sUM3P0uVas7byjxx0W2fuzEms3SgKjYz7hrt0MRHgw1cwlONi1qGYqQVXTHz2tyeKEp4xPD+Mskj
sDkd1JE2r7xF5OhfTRO8ltnOikYaZ1ZfpYc2aKG1myOU1I95MInM7LuOYClMysHnyCHLpBtXspdH
rOMAq3PwjsMEz6shcs8ZmH5vemca4uBnh2oxcSX5UjBGNS3/VjUR5Vl40Ib1D6vsTmFUhJjVosut
dfGNGjYLEpBv2SBNGrvC1VEphCxgiC9VldqTEPhM5RqzYQimwHLmYaHeJ2bdL3Nm22Ha3rSaC/il
Bs6GaXQF8SEv+ZmjDr0L64uSVp9hNnwxlAzofR9e9vFwnDrdQV0gFCV14RcPYH7QcUT7ft26ydJL
UNiXY/OirsdTozJvet84yUJ9aust9tD0iTqGwxZY01Z3CBYysy0d3Sgz+gbtBL3k0FzCXTXgsoJz
qe1g5VVwsnwN4eHQMC8p9FjBGNqil1pXAM8Pa81E+iGQb7gJjuAO0S4I0jNgSPVBFnrQVTD00uTy
wEi0OeFmJjU9gDG+feJbxyAVD8rIO1Rq48bJWxLJbJrb0alm2Aeo7UwqitpJoka3ki3NjC44aIDQ
TXA3uZXr6JC1ngVjn04c1TnUm+G8ymU+pl4dhrJ0UBrmNxfIXgvgX6/bSxfgI2XAuKh6hxYiDruy
3v9wZYpaTOa/yXhVT1T4bY4RLwu3uErSepxFaXaAFU6Bd3UigFDaLFRVwGvBN9PNjuRSQ+FXzWr4
MrIyyXS9O5NVfOltUIjzyC6/prIP/Fy2T2UHGYEuLQqhcIAUgN8nC0zs7oIYDhxNTelrl5vsF2QZ
54NM01vTg/gesx5rpmqJD89mUNcdlOMfL/Kz/6RMdiivEGkhC9FQkn1b/mC+pSQJfIiTMAQF9Tly
vuvGn1bib95CZFovMqmBXWxGDW8hFzRirNMmP0Vs+vdfg0rxRRtrM0Pla5iyQW6Ii5OQ8Hv5Hqra
wGxzAu9UxrPFtk7HGtTIFU47v3+b16OLx7dhNI+xBy16oVX6+m28LAR1HbXeaQOgsAiRagQ5JRXX
jX4mkLNmBXjMeJyk/ltK6L9tLjz5Uca3W82OX7QXhPqCbCu0egyM2Ll3X5QRKn9EW5MOqo5M0ksx
JNqyNkMwaB76s2bDcxmBISWiDHgjU3cA+PjDMkIRjaaXDQaDMoX+BkKQBkReJrCv94yleEocl0aG
DQItRJpsKkEY54C+h/6k9p6y6nALjNHlS5OUipu08yZBs48MAc+XmsQrO7FQGg0N6XSU3LmsI+MQ
w+A+xpgkOw2D8vMg619tJ4c+WJFa2FI9b1ENfMTN1SMoYyEmmIXWee9pQKPKMcRJCiwWUCJbENUV
GOuo6LTIjOnt0seOahoZUGZSuQbhC9d9FKR3xQMVBTFhdDOSC0GMbwRFHnNcQPagoYYBdI/pVMbM
F5T6tpWvW8GxD4d5p0K6rx0dn+ENER9GPmh5f5oLkn4h6PpNGyNHs6Hwp+GdEzj2fBD0/gYjTibv
ZJAwl1axEAFAZn2epQxx8OeNjwxD6o7B9aPGiErCVC/D66BIuIViWHilF55mUg3Zaggm3Yimmtlc
UXVAF42Ka1Hd5QXahpoGLrsPigXsoQZVy7SZpVKckzPIOM3gTDaJimad5xAPoyGLF2MrLfPSOATk
8DkJ2wsnpJLg0jfQn1QOLA35niEK7ltFW3vpeDKq2BuB1YJ8GZZf4xodxSYTajX5cePbKBnJtLg9
xMKlsa+nmRCcqDJuo7wOtVmsmisAuueRi/WN1uHjpI7evNATe9FJ2V2hAt9T5epEhY+sF9IykxNU
goJTJW6ONI0bP9Gro6Jlz7hNdVYEJr5ngACnMrnXXOcmrEhgq7BZFoW2tgw/WiDOK03xtMygr6Yz
SILLMpTOoj6r1iOyGBOjJHtsbPOCW2VN/SrgzG0/1RMswlRAyjSgRzq+el0xMpTBTUD3rrwKaVzg
Jm2Yrj3d/TYUGCrFko1HnWbOjFr+rBfFt1DDK0kBzTMUtYkHtnfukWMrfTIbvf6kqJz7EgcJypqK
NazMlVcEymQ0jeO6qU6DrCok3OyteHwY+hj7pySBj5Z/jlyvwF4KcSHEhNZpI4aptXOTRfIFPA4s
LodpCTIuH70FdpmzvOqQT8FjW1aPstg/CbLssA+rEzyBztqUtBglrWYZu023Ml3jB6VNg2dUp+nL
oHGtFsplO16q5rgGW1stlRjPOS8wkB7RTN5XX+YxAqZoHM1xNTroRu2sNG4qiYQuaZzr1IGAEWJT
o5YAlWtj1fkaNMzxrBnVAxeGJhdMc06wm5QdWHlkhMi3aLC7hXumwVZgpEQhTO0CH/8Ctv/UHbzL
MWc8YpZUJn6PxZhaoiukJ1a6dDwFBi6+VgstMpc06r2DgoSEnMa3cV2KKcwbdg5kHUQlFPxxErTU
7V76aunpj6yU7xNbBfCYxZ/H1Ds2FGjtfQHjxNBgJcjChZQx9ncb/edjhphrQI+ECVk+SzLY5I1w
Me2wM9XQK8OUtHtohNNpYvYX2HLnKw0TVBLfRaHLX4fAWtuYpDrCLRV7QTTLdBxUUfj8kgpP1Qhz
1dweli1mq3JenjmYr8rInI7CjdXAljW0IHoHZnSQCcdWC+tWu3FnvDM8WUe/UtD+WfqMVGdjoeQo
nuL9WkjquucYnFnYwhrYw/bCJzYVjrEWkEdVuCEGwk3WwFaW70q+HEE+cuBE+cJ7thYutOC65sha
//CcuwChm6rWLiLWhHsAyL7wsa0xtE1qFWctHG5d4XWbC9fbVvjfdm24xJEcjLrwxh0wyQ14nC1c
cw1hFoWNro9qJWrTOOvqwmOXHxS3XbW/6FNUMZMczXHhyAud4gD0J+U2memqh+njSohLa0c+jTTI
/tY3NFqZjMPW9nrdoJmBYZpfXKr4AJvCENjzzQb5EwomB7fgSEXrTKowbTQsdLyLYu1VkAJUNcfV
qj+mdR5OJa1YNpA7jSg/oXaLVzn+xF7dX8hDNoejNpD+WkcZTsYognVX/jg0iw6X48gBxIvkyTn1
Qcg0nT7tJof7N5/Sf9+arW8xdI9vm+r9wFr8y+dpDYrXTF0EylI16W+KdOV5YE2mpfNHDHIQwRJu
F7/GNUCEEOJXmSOjbWFu/ug5nbLQ/WeYLcoME9knhE/+YFyjaa9TcNBDpFPkdMx/ENcGx/qmZ0oh
qEUlklSnDdIS4xqlOyM8UXQ5VOd1ncRnVlC0SO7FxomBvhD3650uBIdKlIdahRwDrerjQi1v4iE7
jKv0IkCrqBaiRVrorpnTr/MeVZEUXSNPA4ZfonTky92XMUwfnACbzaxVq25Kf+EcEt5CSXR40yMo
GToCM1VnWhrX4bpGValH0mVWam2qfFdpyaAy7MWLzmttZSVbWhkc0k+qkYtTJHpbcuuYxPtcC+kx
SSixTMw2X1mBlSwLyzk0IXboV5pbE2TcpAsZ5zqerx+XYVDdhJ2LCEirJSrKWUhbTesmPLKq1EQR
3DEq2OqlIcGLtEtsqlOrpXIpIWcxqjFpAQAQ/96YCXp8cfrFyg20dv1uabdQ9vLAvM3dzJ1ZXdGf
h3bcIaGQrcFKFVOVXsUEyUN8R1wZtWBtnrmoYMvuZ6kcV7UlXbSQ4dO2W2EPPWsl6rHOOHUY3kzs
3JyWsYraSHCbS9lR3MBwyepm3VhpOrGwZsQME8qbo1y0jbRivDtP3eLEFg0xrUQYvzsAfH6I3soB
fe9jz0lPErU/aTL4kEN14fjxAbyia/QxaEBhPqd4pyYi15Mizi/jfITXFMziXF52RnVR1nD7+24V
mvqXRDR/HfvWsavDGB7E1E5A1IfOjxSdZT02TzS4EchdLPV8xLW0grNSnTlRfVNWNKEgquSSggK3
fzJmQKBJGrE/P8EK9qDq1S9jl61bSAQ6Asv8luhDoH/h+yehi1K35hwBnF40dX0YGuEyN+VvqhEu
7KBe51r93csw1BM/vWehr1Myck+UpW32x0pb1Qz35ZNG9UmZwpMS8h3S0NN6lK4NX1vFofiFG1i4
UbKqUMK0sS103OIB/3G0AOIvCOxcZ7KP1LG0cHPjmKnMQm0SlE5auI2Dctzp9EP5EPi+KnRDlGO3
HQ8Bf05Lvz72LAWafn/U9f4qqxAhpqv7UFrqRev0F+UQORPXa41zy2B0YHb+ienq68FQwaLGQEWS
KC78SaBmGrrkLetl9MWpTDLXKWypxtFXscjzoOkClyL1G0gBMXOc6Yl2bJEa9iJH7KEfQaa1Zhrp
I8JYbD/yyTx3l0hLDgtJc7+hc7LuRO5pJ81VRDKqSaB5I5GfqiJTVTY5q8heJR+JjLyV0rnqK2tX
1y90ketCH0QVRuS/beichSTElY5kvsiQcz+SuAnhUhS9sq5Jo0k2pwZptdwhTcru4NdSQfs5Ivl2
fXIp0nH020qgsdVRTKIOsepYI3FXSOATszjJRUbfFckdcxN+jFGaIS2JRLjI/wMKASO2V5moDBjD
YIMsqgVX1A0SxKxMVBKqb5CPUlwkAZ3iiHIjUbOvtag/kDttp1IynjSUJj0liilqFckmtczp//eB
T55HQWNS2DBeOpQM78CWmnjBiDRHmqdbU4MPk1bURTT/86kjaiVVVE0o1RSLsBmOM1FRmVpwGlFi
tWZjTn2/v/JMJGt9ECIp5VhLiw85X2Xqi0oNrjpyv9RujqjidFHPjaKyo3sc/Xv3KxughkHX4e/H
slcP/m1y+/7eF//q572PPhloMnBo4vrfzCJ/3vtCnwwssTA+VDf432eYBiJk5AncxdzHXPGGgH08
3/sOg1rh5wOwTICGGRz/wb1vKKK19qqNgt2ioYj3coCKkoW8bqOkMXwTeI32aev4UTULNawnDPkg
TFPpsIm9uVLroLSEoInbNqu+G5RJhg/NXGmdw9rAgBQ+rbLwwuHKljJS0zBBjkMJ4gmMmHnY5Hee
2isUk3XTk/OaWSPNNKn5XBGsL4YEt0ezNN1jfCwpx3trZhYq6gtWW67x5mhQHlZ97AOU77Vb/ZCR
YTxAsPkEyp/gw2dVNEeh5mJQ+nNUUczzAgcNCv7OnslxihK+bSbCKZ3ku0EybXByhyoomdt9hPdF
Ix0oeELPQ/weoPYH90qq9s2sauk51BzWAxMdSlEi4kKg4c0dualy6qpoT/dNyn9Dyf/AUmJlAiv5
fAxiDGctmtUIqIHGoicsAB8ATrVuHVsQLTMfE1b1oC4J50BNb+tYw27bc3Ou6NZAZQXzXCgqJEBH
rSQj7G1q2AckxbAcxfEumxIVJeRfSvAyc9mWrvOxQrmhJFTK9sooxjOousNMM50vFPt3WZmdFMyO
JqXiHzKQP8Pv6MprgYd1XTlrI+dHmesruXHWZDIVuDvJnCqpblFFZ1/DLj400+CmD2vGoI70o/ds
5HhrhKHj9puBzVeeWsVK0SlXwhQ+NzlRNmlj0ivN9/zjAOgjrZ0qwJcoO7OH8DP9igQkDyKS4Gv6
OUhxgnKGPNhYVSh4Vjdcu2hsq9k88gJo9V5AEysuPmeaAyZPpmDubdNDkqG/giHHQFlFnCpo5XqO
4VI7NWO4m57enOVCzUoWula4/6KEWX8FY3yfeKm+cDXlPhdaWMzC68PUVUkI0cli3tIuTKGdNRZQ
yyO267KBLMYUW4hsBUJvK9e1lSQUuDww9lPNzjgIyHMNyHTpUfVdE7pdjttZcyWsUIA1qx9ghbGM
l4dkytnPp7nQ/gogRZs+OhIWknpoL3FGcN2OIVOiGuYqxZQUF5IxmiQemhcz3+5PNaTGVCTHfKTH
zMheSUiRNeqK/ovbrR2eWen1ZV6gWmYiXxYl5hfLSU7RlYvpioTDzEXqLMIgQxbSZ2n91RJaaFkP
Pj4Lc2deWU45zXCNmtRhusiifE3Df1lJyTUyAKuo8I7rJE8OFGTXAsa1KjJsegMh3BLKbGWPe3is
krXI8Y2PipthIiNnyp21CgvrWHWSkwDFt1hIv9E/VWnARSOQcPoFno9EHDpxwapBNU5FPY6S+iZW
ejIdrveJicKcbhlfGryd1QTpOQRPnFkv5OigdxszXE+BmQqxOqmpl7AjGVWZYz+VoDx0pvtlFBJ3
RY7UIj4khB7+HfpB+BVjPp6jjueO5UMh5PLUMRZ9UhUJF6T0YMhGE4dlnbbo7Kno7dWdBu5TSPCh
d63Pohbllgh9PgOJAx29vsD3LUZ6NF1iyPIymn6jqV25KOtNSyH3V9SxNGFefwEg5gYpA6G0lp6r
QiRQQS3QdBrI+Ex8i9R252oF+osOmIvCYOtXa3kjOZjbh4EQIXSt5DyGR9tbgXToo1MYCMFCue4P
TRQMIcwPE1rgxhR6VTw1U8CxsZA8HGV/zdgbq3Mw7DN0F354o3uFkRpJi0KLQxPiib0f3pe5cepl
ClNOIbDIrEadpiaiix3E3oMaHUZLKEWNxXg+0NadS0KsMXK8y14L5o3K7B81R8dJWugS5SEIbAQo
FN+bFkL8UetMvOHNzFi4yfA1QSGy9uTbAr1eCAOIR9qoSJpNcq2iKjliNwN4FbBFqy9KEARtZh8F
6FCGlVsfQB2Mpt1ITQfZczlYyt2IeqXhEbN7aiUTXctCKR8QI1zX6F2O6OJZQgCzGpopMO2bDPAG
8IgIBQWG5pF8YKGdKXs1hvFsAtAARO58YgVIkxlCcLMfrKscBc5RNx6imkAZaGY2b2OBmBiQCGau
SX4JRrpyTkvo0UsVbc+YfQuchQrWEppUrYoUMJyZ0mhb5nQjKJnBu+XuLOdZ4DcTyadzA1zLPLVt
GrcS/YBlWZVfg0i5NNIGReXRuUaV4CaMkBIsiQuTCuFOpGRyhQiioMppf9dcu1+WTrng830vQ1A7
qZ3dVy4ltBOirpP6GkVTFBp4QxRn3HlgV/izLvePaqjSE6yEpxpV49xJmntX8DZkq7hHmvk0DB3s
piSXxlvrrhG4aFAwHvyFk1EIIvKrT9ywAWtRE8Fc2zjxQV5QKAQIdAbZImu8g8GAk2IRJyWXclhK
L4ds9AE9hd8iK78D6I6kXpIsXRf8QDjwG7jtpWLkCs1yvMAxql/ltc9VnDLngFptMToZMcCRlOqU
wcrMG5IfkRxl1JXdaW+5MUZv3rGsBQmGePkPW0qRtdOdmw5z+rlUJLThUvM28pnG58yHZcbe5yW6
KETzynHXeusv/YB0eRrT5VgxEHeKkyxGrNuclIEMyj2kFTKij+EU/vH/Lz20pzafIMbNN7y48+ah
HC4eqiauq+cEU/zpWRak9VX2P/tLv3/QEyPvashh5N3eY/OMF1pdBnc1SekjW291/3//z2NmLhgX
rzLzzQfbfOrfPie+hfXX3PMOmv4Jjze4GRp4SPFiuB1nqff0x5ICjBobGESF6ZXxVi+W6O8W4fff
73E1f/93/v6zv1wCOHaPn+mR4/3zd/mHr8/3+/Xt+XIUJWikgREXL0qM19/e+YTEJAoAjFY3r31Y
hC0bQaDbd9sIuvLJAn1gqUBmNy9qpFdLoerMu9Gr2zCJ//d3wrtFEAz+XRcBSwXavjY1oBD04/Vu
ERj606NmEfZ0Iyhv+/R/HhFQJzRB7KiWsf1M0MSHVQ7CQbTv93Aj8LHh6+x2GjRmDuIgQGR+3Ags
6+vToIrJg23QzNjTRXgnb/k/2QnMauivYJu8eb29G5jZMI6hqbO3x0He/YJ0CHsOkCzo65sXJ//t
TpC5QZlBPe66/+Ub8l1cFB/7A44DxrIGayCiLK+3x0GhIcfLgDS6r8dh98Co0XRkLijMeLYvArcH
3gcgBUkj9jMwPl5bf5YwiQ3/K2NyPtEoRU/273YCMUHwjRVUTfZ0EZTdY4L5CRsL8gCdFHTzehMT
OA7MuIWyCwnEfu6Ex19nl51g09MXKiA26/k6IsoEA1R5OAqbiLmvG8H4iDSB+1GnPuJRr9eAdJoq
HKGUff32otLbOUlCxlpVOAp/czXKn2CfcXkKBZm9PAb67gGRdNnSwYDAJd683l6NmKZyRiAOCp2v
vVwEgTTfeSdgFmvCmH5cA1GJvT4OhARHXJ6Gud8hYfe7gTIZFJGGJsf2/cDdQGjETk6gi/ZzP+ye
KuE/qCmmYShPbZO3+0HkixBgDVvZ16TZ2PmCZH5tkSagjvYUGbY0E8TNAadkb++I3Tsq5IsYWyqw
gN6GBCpoSEEWnYY9PQeC6LNjXITugQYPCfPfJIoC9Sgj0of6554ugqCc7LYI4hwgtaHr77cAzWdI
MDjpPPUc93QNnnboLskyFYMmoxXzlBJvazSrjsCdCiXIvbwVlJ0DoqaSBOAryIzxMV98209SjE8Q
rbg1KCvEa1/DovIRWSNwJyIjxcPj6010FPpdqA+jHbOvWYK+c2Bg9oQABoAwxi/bF4EyGhULxMie
btB9PRq7XxTGJxRNRVflcedviw+iIQ1jcF87CtruVYT1ySFbQsyJOCleb+MDt6WKkhxH5rEXu7fx
YffGgvOJWRu6qDRRNi/RhHs5lqWqRFBVwVR1bxOH3XNH9oMl1IWR79q8tpTWoEJFANnXIKk8/jo7
ZA4CBUvbXegYPb7eHQqaLPyxIM/saXh8Sml2WATmshjPOzpH/3EROPmvj4MgFqmKguDRni7CUyd4
l0VAts5QkVB+7jq/PQ7kDPDRacoSN8RrX8Ojtnv6ZH8ygIQzgJUfI8O70pq6yhH/x526z0uh7p5E
bcQGaDPgof38VV8dDVotjgm6XuUy2bz29ICI6nC3QpOhvQoJUGfs8rgU70Il6A0iJTS/fW05PA3N
dokSDsK//M4WMutb94OqMdC2kGgX4Ja9rDTV3Zuw7ARm0RjbP275dzge0YSlKS+8Nvd1EXYPktYn
Tca/5ucqvL0vAPLgMO1wXex3kHwCVuxwKAS4TcM1Btbx04Z4mz+on0zwDQbApn3dD48fbLdFIH1y
GEs/VdME3Fc3BfuB4ovBvrK3i7B7jcnBxxeC+cwTnOfdHaGA/ALLo+/tuE7w4Ha8KJGAt2WErJ6a
De+7DYQOhrrAF/Y2PO5eXdpC0VXMJJ9qim07Ad4qllY/Y8ZeXpfG7omTyBkwIeIueMwZ3nUbAPXQ
aRCiVnsaHoVB046HgjwZTQpm2E/dyHc1hYxxgk381PZ1Zvn0wXa4I0SLHkKkQZv+zeUADwABP3tj
GLE5D/u6EXYPDJuKyrL4nR8P/ruNQBmhohDiPInM7R/iU9s9JFgM7WQZm4PnFPrNfqABSZtWOPHt
6xWhP8aqHU4DvTcArex67e/iokrbCf4MieW+HofHzugOi6AZFM2qSU7EfhCvLb03CPzomAsfvr28
Id+JF/05FB4zCR3lHANVx81ryw0pCzVIjEH2dRF2TxvJCukuMpJ4iglv7wjmM2KETfK8rzfkE8xi
l+MgWgskjYIWsXm9Ow7g/XTHNvAj2dedsHt/BVSPiUcC2N/HRXiXO8uf+ENmu6yDeD3uvf27KPXd
C0obA5qN+NjTHfFuKTYplalDmNrT/fBO3+WPwyMXJZgNFJKRwX18vc8WQAELj+PHLvXe7ofds0dq
KSxpQUU/LcWWIGmKCPJHDYb/4OT8JChPfcS7N9Rk9Cy2MZj/7i88k3Lf//kL4vGGdfvqbwqq8uOb
P9KTxf/+r9fM5Q1t+MWfPtOIN+/09O+fvuL7N3/1Zs/f6/k/HgQP5W15h9XrhrD99EEf/Uz/O8bW
9P72JWdY0KZFd/z5v22nWf8sJH//dOj7D88P+sXJFmyrX1/1PYf7P3t4cnuflc8PevFwDs7OD8df
ot72wclpdn729Ba/ZX6S6vlZLz47kXH352dxU737SblkCK4f8PC0Lm//wmWv3vYWJDU7v8XsIf7r
BB+VbetPvrDz8+fxX7OsZPM8P+vF+nPX7fz8RYlGzraHE+Z2fvgyfkjT5+e8+OAfcVwPmuR7Ft/X
7x8vEK47f/RVkj+UwW38/Khfn17gJnd/fDpsWXSBQ9z50UcP5ZY1FyOA3R8dpN6WQCAIeDs/+/g2
2nKGBJ3gAx5dVQ/b1uQjDuhxVv313zi7xg/bVuYjjuj69p4A/LwOLzbiRxzR9W0ZbFuajzii4tl5
ti26C5jEzj/r+iG9z+6CbdFLjN0/4Pnl3cP984N+rTsuuh/w8IzP/vycF8/+iGO6zrauyUecUh5d
P5QPw5ZP/hEn9eQ237LRRTNu51/z5KG9fZ87YmH/EUf0t+bOm0R2h8T0LL69e9iSO4r23M7LchY3
ybbkTsxfdn74P3m+7royl7d3JSVBWm+5SwUobecvICwqJw/CafX5Yb+OqmATfdAblOlteb81kAlB
qA95k1nw4G37Eh9xasUqLbA3vwuqu23v8RHHV7zHYXZbNNtuKwFV/5BV+mc70t23bPrX+rZ+2LZO
H3GeH52QJrfl9+1eSB9xrB/fY/obt6UPWKWauq1sxucf9te5ExTv3X9s/3ZrTShmTLs/nB7GtoRN
mNZ+wMOrKBiy5vlRLxbmQ85yFt9uyx5E83v3z05isk1aWnRtd3/4P3lW7LwpRZtlyz2sf8S5/a3q
9q6fHJcq7rAtSZsgRe+88FcNkeDh+UG/9qNgWX7Aw2kQJdv6coKFsPPjP/OEZttZNT7irN5gt/b8
IV+sy0ec05vm+5ZMWUCH/mFNtrVlf8pAvm/WPss7bvtnr3vR4m/cxQ+35X/9PwAAAP//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Where to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to Our Customers Live?</a:t>
          </a:r>
        </a:p>
      </cx:txPr>
    </cx:title>
    <cx:plotArea>
      <cx:plotAreaRegion>
        <cx:series layoutId="regionMap" uniqueId="{890E6577-717E-4F97-B52E-3CB6738ACE9E}">
          <cx:spPr>
            <a:ln>
              <a:solidFill>
                <a:schemeClr val="tx1">
                  <a:lumMod val="15000"/>
                  <a:lumOff val="85000"/>
                </a:schemeClr>
              </a:solidFill>
            </a:ln>
          </cx:spPr>
          <cx:dataId val="0"/>
          <cx:layoutPr>
            <cx:geography cultureLanguage="en-US" cultureRegion="IN" attribution="Powered by Bing">
              <cx:geoCache provider="{E9337A44-BEBE-4D9F-B70C-5C5E7DAFC167}">
                <cx:binary>7H1pc9s41u5fSeXzpRsbAXJqeqoGpCTvduzY6fQXlmIr3AkuALdf/x7ZTiai5B65ql23Xt2r7q4u
izrgIR/g7Dj450P/j4dstaw/9HlWNP946H//GGld/uO335qHaJUvm6M8fqhVo77roweV/6a+f48f
Vr891ssuLsLfCMLst4doWetV//Ff/4TRwpU6Vw9LHavik1nVw82qMZlu/uLazksflo95XPhxo+v4
QePfP3rLLP6u6iJefty8Rn7/eLaqiw+eMoUePn5YFTrWw+ehXP3+cWMQ8vHDb9N7bfH1IQPWtXkE
YmofUUEZshlHTx/88UOmivDlsoWxe4Sw42JKxI/bXi5zoNyXnydulo+P9app4KGe/j+h3ngCeAv/
/i9P/7B+C+u3HgIAv3+8K2K9evxwq5d61Xz8EDfq6TXVg6fWj3h3+/ROftvE7V//nHwBb2nyzS/Q
Tl/pf7u0id5/QdZTmWmW74Cte0SQSyjH9jO2MDk2sCXkCCGHcpfZm9juz9FudCf0e+A7oTgwhP1V
9uFSgfz4+0Fm+EjYTAgCi/TpA8t0E2QGs4BRwQnA/yw3nhfwm5jajfP2EHtAvU10YGjfxO2qbuLH
d0Cb0iPXQTalL9IabYlrAfJcIIKFu4n2m5jajfb2EHugvU10YGj/OwN1+Pge4lscOYg5xOH0lZVN
joggDFb2JtRv4Gg30NMB9oB5SnJwIJdx8R7r2TniLrVBQ7NnjJ2J9AbzS8DHtgWbgrwvR69hvEG/
F8QbFAeG8G20bPQ7rGKGjgA7Th0qXjXCqIOR4xC+ifD+HO1GeEK/B8ITigND+N/58lHVf78FRp0j
CkIYEQeW6KbphWDxEuJS5P7wrX41wPZnaDfAE/o9AJ5QHBjAn+sYPMHh70cY1rAA/9cWNn9VE7vg
Q2NwtTbX8BtY2o3xdIA9QJ6SHBjKt8viw6laViZ+j3CIOHIBZkYYeZbWdLqk8RFxCQNt/exTT/B+
I3O7Md81yB647yI7MOyl0e/hQ1P3yMbkKQq22woj+MiGCBnGZIL33gztRnqTfA+MNwkODN1blS0L
9feLb1DQxMbMEYI+L+qp07yOgzHXsRGbmmB7c7Qb38kT7QHwhOLAEL5Ygop+B4BBagsGchu9eMpT
LwoAtil2uHDhyq8m2N4M7cZ3k3wPeDcJDgxdyF4sIfK1bN4BYecIu5xgArGtp89WKBsdcWcd7J4u
4TcxtRvl7SH2QHqb6MDQPjb5N5U96r8f7LW57XDM2Noj3nSo2BHmmCIIij0r6s3V/BaWdkO9NcIe
SG/RHBjQnoJk2zoy8i7xEVDO6/yiS6l4xfYiR5gyxxZ4IrvfytduxHeOsgfqO+kODPlZ9sFXNURN
/v41DrAL4nKbvGhsF9IVm0sdhIDrgtVmP6c6Job3m1jbjfz2EHvAvk10YJhDFr2Im2xp3kOLiyPO
kIB494shvqXFMSSkCQNZMFnrb+NqN947xtgD8B1UB4b4HCoz3sXt4hA1w9y2oYbkh7beWOLr3IZj
wz94Un6wP0e7kZ7Q74HyhOLAEF5kq+I93C4ImxCIerrbdhrobNfBsNInqcm9OdkN7Cb5HrhuEhwY
rCd5uarjZfYO2pmA8iWOzSjeHQbF9pENK9vGkPdYfyba+S2c7UZ6a4Q9wN6iOTC8z5dNs3qHdQz+
FoMEtOO+xLzRVtAbnGu4zCCAsulw7c/RbpQn9HtgPKE4MIRPiuE9bG0OhSQERLV4KTKY2tp4HV1x
OXecidm1Lz+70d2g3gPbjd8fGLJnUEj8HhY1P4LEJBQBMftVG4vDNUhcTJbu3gztxnaTfA9wNwkO
DN3zZfoexUFQeg0aWCAoIHj6bLlL5MjFNuaOmOQt9uVnN7Yb1HtAu/H7Q0NWNR/+XYSrbPUeq5cd
IZsQ6vxYvSB+Nz0kyFyBN8wETIL1Z2Jmnb+NuVfQ3jHIPqDvIDsw7D8bKMzP36XsDxJWDnEZ1BE8
4bpVxkvQEXUIxg4BW+zXhNVbeNqN99YIe4C9RXNgSF8uy3co/VvnnV3QzaB8n1HesquhgBfMamQ7
Ezd5X352I7xBvQe6G78/MGQvlo+QkXwHD5kfQT4S4huQdH76bNUUoCPEIW/B8KQQf3+OdqM7od8D
3wnFwSFcx6V6l/1T4gjwA4SdF8d4ijEEMF3OhEPARHv6bMrqdbJ/X85ew3oywl5oT2gODO97UIfm
XZY0bJRyYDscei0TCXBDLS9GHE3c5DewtBvn6QB7wDwlOTCU18WMfrwK3yMcAsFNDMVCEOCcmtsC
ygugGN+hL9705np+E0+7gd4eYg+ot4kODOyLVfGoHuJ3SUK5R3gd9RLixQabynBCYXuk4JS6kwDJ
m5jajfb2EHugvU10YGhfrtrlu+yXA/HMiQAB/mKSbZnbkF3GsNeZuZNwyf4c7cZ5Qr8HyBOKA0P4
YlU/wIZ8729vVgCbWxF3ucNfyr+mAhzcZuZgF8Il7IdR/qvzvD9fu3Ge0O+B84TiwHBeK6Z5vSwe
4uZB/dCVf0dTCgGFAQgJyEfsjmpDPS9s0MC2QyfO1QZH+0zA3UDvHmYPvHcTHhjsFwq09T4v922t
SKCTAYTDXEhWvOyy2qr+hK2UjID4xpOg2N4M7UZ7k3wPlDcJDgxdmMLrfbC1Gf9+iClETQTDDP2A
eEuAw04M4sDan6rot3G1G+cdY+wB9g6qA0P8Qr2L5b3edWNDIfcPGT5tTLJ2pwFrF4InP3THc2OS
ffnZjfIG9R74bvz+fwGyf83ixgOv+w79+8e73aGX39orSgCijHMXv5K1AEQ5FkRgCHruiIfBloif
3a2ezbJdPO1G9VfajWd8fsS/fin/6zpCwZzUq3r1DluZQQJzwdc74V420uxwkrjNoWHBtKvIW3ja
jeHWCDuA3PgKup5t0RwY0ldgPofvUTtAoYIPqucd/lpjEeguY0NjAj5NKu/P0W6UJ/QbgO7u7Tah
ODCEr7Plw+p92k6A7lxj/CKNd6xkqPiCeDX56UT96gzvz9dunCf0e+A8oTgwnF/sxGz5LrkJiHxA
GQgUAr0W+cBH4C1jCG5NaunfyNZurHcNsgfgu8gODPVrqBB5lw2vkFqkXMD+qBdTamo9Q6gLCnLB
W6YTwPfnaDfWE/o9YJ5QHBjCX82396gfWOclMBTQg/vz9Nmq7YOWE1DX54Al9sOCf/aO9uVnN7ob
1Htgu/H7A0P2dvlQQ+++Qr9HktGBtl/Q2o3BpvSnz9b6XUe71v9A25H1B/JSv2rnt/G2G+sdY+yB
+A6qA8P98ypa5su/P7oF+yhgPwyHks5XNrxB2BoaFGBoJPNcUDLBfH++duM9od8D6wnFgeF8C3Gt
98AZ6voYdTmU9r3mQz9VGHAG1UOTVb03R7sRnjzRHghPKA4NYUhAyRU0fXsPCQ67ZmzoGwRFfj/9
p43ibGgKxRBB0Khikk4Gs/cNXL2C9PYY+6C9TXVoiMdNGg/KvIP0hkbaFFKK5Ee73ekuKZDeHLau
21DWOVnVb+DpFbSnI+yD9ZTm0JB+mst1sawf36cyCHrJQLUfFHu97K6Zxk8whLuhOBtiLBO438zY
K6DvHmcf6HdTHuAEODdx8+HqW9yU7yHhbSj4JBxKgiDh+GKDb0p42PcK+5uh7d+OKfBG1l6fA7sG
2nMS7CI9wFlwAQd7vAf+T/XdAqJqLxp+y0cDe51AUM1lE0t9reH3Zup15DeH2BPzTaLDQxuKD+Sy
/vY+YVS2rhta9wF8xUNbZzBdB3w0OBTl6bMl+t/G3qvY7xhmP/x3EB7aHIhX9bvE0KFdCUewrc55
jrjsanMAF2F6QCfQF3WwEZLZm69XUN+k3wfuTYpDw3ndzPc9EmMQWqWEQLPIl0W+VWSEj/i6IexW
HfDt3hy9gvAm/T4Ib1IcGMKfDWTD3iO5DV0PKFoH0V4vRCHuOh9mT1y1/TnajfCEfg+EJxQHhvBX
lb2HYQanoghoVgI7Yyc7dCDmAhcEhi6gm5p5X0Z2w7pBvQeoG7//vwHp6yfV/Tzsz1/q5ezpmMBf
Dqv766tPLwfONpyQviQmdhRr/dy2fPL4+0fYYEPXHZh/qSpbDzRJa7wYzj/Q2yRcwRksv3+0MIRa
ENjdnHMBvhnjMGa3+nkJ4uuY2GC2Q8vntRIv4GS1CI4yhKpx6AwLFYfrlpHQVw6oGmVeLmEkQGDA
EQ1QXgzlpz/PcbxW2RCq4ueLefn7Q2HyaxUXuvn9IwRxy+dfrbm1ERQ1wt4xBzrqwEFbAurQ4frD
8mbd4QXewv9pTGeqnA/dFVLXdchmQyL8X17KjjsAp7/cYW1+QO4XIk2QzYcumdCaafMOvBMpNcKY
q4Ylp7G4t9CVa39q2DEOrrv2ssGzv74fZCH+yx3XHP3yTKR36njEmblKSmNJZwi1K4dGkVyqUDWf
ulo5p622y0ue2oFs+JwnQzWrgj6wZzrXYpaEBf+zh7MTTjiNWjlUJfNxo6ikTnRuq+y+cEjqlTV6
bK30u9tbfxQjIIAJk0KxRCYhnOdYDJktKYmcWZ1ZuczDODxmKV80QxbPodiUzsMyVotg6Asv7uNE
itpQWYyolgGJb63O8UoT3zhte+baVEkRt+dWFQBKSSzzwCll1WmfDVQOvPsUBFknA4seK4Wv24hK
OIrrpEAmlmkSnikXS0Otu9rCoWyLP9uRXvciOm7F2MywbhaxZgtWOqdRbPcy4qqbW2XdLIJouFBG
jLdCI7eWtT00xa2qIn7Mq9JLcFEdVzyy9KexZPCFyeteXWUhO9cIi8siH+1j1ujRzw2tvqXIOee8
u7BYfl6K+KRPu4vaDS4tlF4OI/+CM5fLyrJcCQ125zWJH5iNHjNL2bPOZhd9yU4DQv02Lc910M2M
GU4GGl+jsfKKoPLjfjjvhv7cOLXy9ZgjL7S7s6ZFXypDZoypUObFeGdnfSiDfEgvY1NcF6leGKe7
TMf0FKlUyL7kSKa67mTVO4Vs2hRJNmSzJhF3lR5qmVgonJO8NCfGdHqRBaT55MTVcJ4Nyp43DjnL
8kfX6q5Y5Nw0psYSR5mWUVTPcZmfBll8bQrrtmuLeWQBLKrPZk7sSpHrRxGZUWKefCJhN3NNbmTU
Yx9aFvosGT5poyLZlK3HO7bo6naOWOBr7sgcI18pdTsW7DoPqsrr+qaVOkvbm36IbniAT+rO+E7p
/MHSwuuFXX8ukUW9JK6/F7SF2eQuaFfIcQwyyRDzcNquUBeeFYb7FcOJBxLshOQJ9yiNZ9zqJA7C
6yhuL5idHFd2vuiRPctE4Zk+OGsadVzbrWxG7duNdQnOqU866wQExafBCbUMYtRIyoJ55dJ7Vjce
gRXiVWnRycLOhuO0s7OTOivmZRwaSQfrNG3Gz03ZRXLI9GVcq9ukRX6StDCtg8T1jEOWrkmWiXAu
VJUlsk+61OuaepBB0+WeHbTO8ZOYeVFGL3LtWZI+qHKo4zB6ORT355//+qxy+PfpqNX/fLk+U/c/
fy1Wal3q0Ex/tL7Pz1/BbV7uu1YyG39sab1X9Nrzqb2vXHyT0lvHB38eu7ul9J7r3rY13lNU8YfG
g3YR0PnWBpW31qEIUko/NR7kmRxoFUM5dPKyYVfUfzSeewQNVinsmlkrCbxWaz81HvRXxtDUD60d
IYh3gAr98aAbOIG236GP6PqchF800lrnCejjCtoV+tZAETid6Lx26FqmmeiudN+mHtPpF9UON0K1
7Sxzw6scV8mDittCxgP9TDVNvJZawa0juu9WhOaE20yO1Bpl6FQzVGSwAkWYzeI6+FaHKfb6TNSy
NcUNc7NwgVwVLLo2uHDgQGc/KsU3Q+Nb3o5folxzmPraSFIyr1dRfpyK8pSWDagLESWSusV8zMgt
3MvvNDYSlnHkEzNgmTgm8YKRX+jUvYMkfSSLNHxMGueC1cEnxPqrKGyOlcClbNvhE4kQmjMH1nrC
2uueCDVzKOFSkL6TeZZ6QUhg+VcerUxyghiJZVfiYxwF+dzVqpmlsXZmZijpjKbBgqdZLRXN3eOg
ZJ9rV8t2cH1D6cyUDZJVbcdenA8nI06Yp4vIkSEa7233MVeBX5P+omnyU9HqPwwaY69Mml4yGrfS
DCCAeGsiaffDqkXqpMViLqglpIui+xDnoXQdy8ucrJKszmUYj8cJEVddLC4FC71Q1ffKsr+BcjgT
Kl1Y6ehzKryqwScmSD+RgRYytPmNA28oiEUoLVXPuyy7rJl7w2P0Le1HJHsEktlGeJSu6O5ywr4m
jntJStF5ui3YvDS4kW4vznDifLYyWnh8RPdxm2SyK5KzkQZ3ZV9fgvlxFtapK5ssWzEr+rNvrc8l
Ned91N9ol88Rt/4wVvKQuYktbXtovboMhRwz5cxIU30Xw3CLjBXLirkXANN5B+ZZVSd+wL7j0p6B
PixkZ8Z5KVTjExbfqig55omjJArFYkyELetC/UkL/pXmzdoo6ZfMdDC/cFWBTVKkstXqHLfZYwAz
0q1p7jOiFjjjp4YPx4prsHHApCER/Ww34SKMY0uOQXWNUacl6Ineh9bnkaytIfGtyDhyoGCaIDe9
TzS8pLGwEmlHjS1ZTm40L2dumR8PKK/dWaOL8jQIu/CSGHXfN1+z6oTCmvua61iqoULHUZjGctTs
TlVD9GnoavckSDOw40TTL1gbxBKZjnmmwslsMJEtY6v8biedds87XOniUxAFyQBGXVqNd62t4lTa
be80rgyDlN0WAS1TzwrpfcwSNWPY3MKevlEGA5N9wWzf7Vo/c5LEF4W7GMqu8S3sOL7u6uw0LpmY
5W2AZ2VHv6rWTmbjCMsti2BKF53moLxrL7Zt6llx7oeO2986Zc+liqKrPhofie5lXIWOH8fVHIGC
NmmOZ2OPg1nBnchPnXCeCXHZMyZ1GXsjcr7ENpgNDlit2onmXOuT2KGyRoOf9eo6i828bC3tjVZz
psqmlFarT1lUhJdZ2t+ljN/C28WLymWXTVJf95W5c1P3uKas8MKg+9Zwdq8U/SNHIpMkqLwko7ms
qnGc8y6+t6OeSTXmkQepyMsuaF1ZdLTz0ig7R924gG+JB5YsWKba/lpavJSksmY1Tb8PY3VXJuK+
rOKLrGbf6mZUHsrFFdfuKTcKjKwKjFZadVgOOrQ8FOBvqE9uHFKcA3iVdJOxkzoVd3nbdrBCqPbs
zolmlRP6fLSYD+Wlo0zSylcaFtMAS0+M8JwROWnCtpVxpG8SA1KA4FMwTs8Co89TO6s94Qots45H
MmhzV9I4z6QRTuKzHI+zINUrKxr1XLlVMtfGjWVZossicK1Zm5nhmBT4dAyDpTXk51E63lkDJRL3
w4PVVsntUPa9V3fdcdmwQuaDm/oirB46hWJp1aj0VF7cxQ4/i8ryIR6F9kKC8s99UR9bBbkTxORe
UAIamQjmg0mR7wQOiI3uRORl4AfcHJcJaIdSP7ikY7LJM5hrTW46W2YotOrTGuGhlSgLixn4ps28
CXTj/knyRouL/28RPYUBCDiYr1tEsKvn537x/0QA1jQ/IgCQfAdlKmAHIVmbN2t/9Yc9tM7R2HCk
PYPOl+DK22D0/IgArI0eCu08oB+qA1ucGCT0/hMBYBD0BccdyjveHAGgLoQZNu0haFvPuAPuKeym
gijA+vov/nIzongwtuGXIS3G8wq22ZSNVE5UMd/qw3YcQeAb0kqL8CjzHR0IdQESvDEzEyeDjLSN
sgvHxCjXkoRwj9Br0GCxWWAZlrizUBekkHQEq76XnU5M+KUzuVX6IwoZuMapsNzypGE1SE+3tXn/
ySSCSBFZKpyDs2KBV1F8IeDMepTRY10IRzZNq2XVolbWMdgBJrSaeWDQ56QgF3XBs5nKQUsO6KYY
4lpivJZcQXlWqvysqIJz3PX3Q1PGshcqgBWdL0x5kuVhIIewJDLmSeylQocy60UnYwcUhwlG8J37
8UsuXNB+rZFZSKVlmlSWfbFWeaL0u9w5rYvhkfS692PT/qF7m0ocZmd5jGw/V8N1o4ph3vGWe9y4
xgvaSntUjL2fap75aCjG2WDXtoQ2yDNkm8EHqQUundM+Wqw/y6w49Ewd1F4e4Me+L5Vn7GaeoOo4
tqvMy3F2njik9OK6vjf2kHtJ1Z03JjVeG7dkNip6azE0r4Qh8yANvNzKcxnUQXnCojSUPVOXCVE3
VdV5gSjPYj56UZ8UsnUqiUUFajb7xkAVyjpqfU2RbLPUzyJmeW0ZnrIgn9Wlw2URjBCD0H0i60yl
c2cQ1tyi+iK3RjwH6zE5R8O4wGH4xRRF4qXKjRcU3Hnf4iGEJupYMld7oMNPW9MmskL1l1ANMBNT
+2wY8K0O+xnvM7Bne3ycFslNWLTnsU39VMRGcj7Gs8AeMlkyKziu0yDyUO9eI1uJmVPRlcpwc4yh
4ZlnF+rSxoVeRDSfFzS9g4NT7/OkkqqsriwQy6AgUiIZmGiekyXzJMvvO+H4QxZJg+hXVBrli8Re
tF1226f2SRFWg+RBlMvIiWxvaJIWJjqJzsqyxj51RzBruu5LISCWkRD9pQ+6e8yaz6xJwZ6tx0UR
uVdJY3tW4khm62+9CCAQUXSdZ0Ra+lWKfeXg3Kfa3AbJmEqVYDNTQ3gSNiw8rnR1Y/j4FcyHPyu7
iUEjDwmoz7iaJS3DHkPmro0RB+ONxb7i0allqVMk3GUxOjXYjRXxiMK3rs3ncc0+g0G/sKi67lDc
yT6mtwwil74ToVzS3roMI3YRi9LyaBrP+zj7EjNRLAo8LPNw7I/TITw2bc2kFTmuV1hp4dM8U3Ot
i69JUbXwfmIFq2x0zlw0OL6L0QJ8hfo85uk87wRMUpKxGewb4xLiDvOsGa4wZqs6g8CcqqvLUgiw
DoPotM5pNuO4X6Wxe5OwWEhOy0DirB8gEjF879o8AV8IfDDwdZhHHAEBtkbjRSY65QWZueVBClMH
WqrJFFsKJkA8eBVEdTymouM07Jc80sVM86KY9dy9MHZ1gS22SnVPfQjjMFmnA0woLeajhb7XHTsL
VXw8jOprIUIy41F1ImjaeWWPz1BdtXOnt1pw5/gN6wk7CTV4N2MCogST5AKn+ekwRotBJ2dwvsGn
pA7O8iw5iXR1G0TVd927jV909fmggitulZ9LZ+0xDkMlURTyMxfkIshGBSs3ozOhTLdIUvWlUHrw
RAd2SNYE0g66etaFXHtx2927DbiiRlmwposSBo/Trz24v7Ac+3lqDJK5Q5Xn9iSfp0P0hXSrrh5y
KewknhUDO4t4/rUf4I1i19xmnSazoFX3dSJcjzbWPUQMVlGowTZLBQIH2j5BjQKzhf051uh7i2Ey
lAX/XNYAWAdVDb6dQWQSh0U1r3Jx3SbpLKQBllbYWTLL2kvbSm/gUX1wiq/GnLG5zSrHC1sLXNlM
nEPBM/UjB50YlcaeCZz+hHX2LSmDPyLhjos6i1d510DYlHW9xN1YHDdpe0cLNXpc9KPs+rp1G/n/
opX0awDIhoqjvzKQft3u/lyD8JR6eKL6aSJBAeO6dTTiEJF5Tnf8MJEI1Lmsu2DBaUsObNdfly+9
mEgMMit43ZQBrffoE/C8/mMiETgkEwaE1jsOnFbvuPgtISO8jghtZElc2OYAvck5GGIUDlSGVN6v
FpIeKWgDY/pL8HfcWdsFUQnhj0SkYCR07Sdu2cNp0rdFOkMo1V+1Yi24W01fycYtqi+/vL0dAax1
t/spN1DKCa3yoTMUWxf9bXLDiqFM3ci0l6Qq8GWYjkUAHgtIcq8HZ96VbcfMV9GWEDeoc0dXXpXU
oNqDsRHMg324xaOrNbqCMSLjkyzDd6NtOXgxcDtY4cHC/fyvOV4bv1scQxIILFY4kRryWmjCcSwi
wHbQl7S3Q/DX+jG7a+EUWzrXAgQsRI96nPixCBw5Cj7EICIQXeRtPWC/bpV+jPqmwR5497bf6FhB
dDuPwPYTtZ2Gs1Al0XVq3NO8caPGh3Xv3jdRdZZmnd3P4sbiFzFYK/nir59qGwbYkQx6kQg4zJPT
p4f+xWwWw1oQlVlzWejAvVchGNiSpQSmRlmY/hqkh3tbBjj7469vu55rv85FaAgGxwcKCueDQnCV
0DVbv9zWRn3IyiYsLgtnxJc4jcxl0UCgwQmi+7++0zROur4T+CsI8pZQWCqcyTwrCwZuex2pS6dE
bFl1qs4WgXYGItMymqHKZKNHQWkrL6F2l/+3SbOeFJsPChMFEpMMzkGFgzKnt4e+D3EUFnl8KarU
XuaJsZdptubBHvNmxmul5IAA+kWXVR2RVarESmduc9K5AzvvOa2RR7tEpV4iivyO1iVYXJEzDKvS
aksfWWMuPNtVrD62KR/Ns6CHuP3uOPP64K8p/2ItNqD8DjwrKAHYBApxYxe2HVgX2AT5Mq51E0ps
pbpgazVdhKddFKffIC5UnvdjBeEcxfrYI7gV37UYIT4yRKEA2yNpV3FNxWNrl5E4/WuImb0FMrhM
MInWJYJQHAppx00uee3EqI40vUgggxe4ENxyo3EB7gt157o1xqv7Cn1q88GGbFQUCa/GxaIhdbnI
WEm8NKvymzKz816KrAPHLsnVydBoLUu7Ku94kzp+UBWBZ1QCecsYoumgcJOmuOxKq7mqrJHOwhC7
ibTGoMg90kIU3OY6uyFJeB0OBe1lZkR1qYPqsya5RX3eEniR8UBANjAD3inqnOQ8i2zna4AMO43A
1T0fw751vQ5FLPdg0sUnlrO2VbrBGX3c2ZY/Jv1D2VT61iBLRLKDvO88aCpzwgJCPlcR7tJFICwM
8ccoDb7BbvYagkhFZf1pcpH7ZdmQk1QV5Qmu3OwxbkuIdpU0T29jN+iFbCsWnoKbZrwB3sMCM+Je
VV3ez1hXV3PwRzEkG+Cc0NBrO0gjeC2Jglne0No3pXsVBVaIfIyVPgZVQzqvQAmXjhbZH32OojNS
u+WtTbW9MG5ikXnD83HpcFXPGgiajfN2HTu0+h4tSZN135uwLG1vJBoZWYSkDee9ThQsjq6bDWFr
nHmtgsjPNM2PC/iphE7RkETlbd4KmTRJYnki6AQkt20wi5jOAo9qq8gXNQebjJkBfeooZn7c1CiT
CcwkPae6c5tFT0V/ztNxzIJPpqs0+JpDnA1F/RgFESHj16azepFH0q1BlKsHMuSJprU02hgIs+kU
Qrf9qRtX46J1jQ5O8jqOS5mQTN0iYdGTZKDUQADYzcB1r5DbA1w5hGiLIAB9CDnQrprxtAuRV2ca
B1dRhbhQ4JaILvKHPnP1OW80hRnVBQo34GOBLpxzK0qCqxaWDg+9ChKnMOFo2oCDmMW1K7MKlFcw
69uYe1YA9blg0waoYHDsbJDnXuSaLoCkgsjyWROAVTC3izAfPWe0QWIWJGXGy6PaymTbDGFz3cTg
g89UGDvfLdOKGPlIEb2ImWMcMHKDMDgtqNBgZ3tF31TjcNzAvp46mpVhJPJZ0LRjNXfrpojnQ8bz
4RhBeqX0bAKVBp7owQ1e1HEVWx7ASr5YZT6CH0p5mvvwH7KusgRZDbzyoviS5Lmbn1DI6GSzNNL8
ZjQakvGJpQg+i7qoEQXEZUikF0HdlsUtKGN6moQjSecGCgaKmdJZOM4c3I+u5yQQJ7jInQGmtgVL
pfYDjM1pTW0788OAhgbi6i3AGYsG7JNiTOi4ylLYrug7wAB4uP/D3pktWYpjXfpV+gUoY0a6abNm
OGP4HJP7DRaTCwESSAIkePp/EVERlcNf9Vte9EVbp+VNmnm4+/FzYGvvtb61WQVmpsDn8YnxrINZ
1nUqKvnA63KDnZPkntUjvW9rC58p4qrdcjG2m3f16z6G316zBC8XwkwVrM02nBseWFZ1NG5svv+7
PKCcwrRWLFKFsxye3uS49wIJZ1i9nOM+Cm+DTfKN52SJvejt2ttwvk1Hug6lpGq6SWaJI4mZrMM3
UBHh3ap5E8hnECiyuahV9O5gbLLxazCx6W3chsmnxNWizkmAi/cwS5dFlYFigRc/B60o+0h1piC2
rnjA1XNvLTqLlrXLk0lS+3nUTQRyw7K6Il3ih7kkNX5O0g+tO0i9BLebG6P4wUxJ8DaYPPwLm3qG
FFOwZq5a4OPzk3ZhaM+YS014x72Mvpe+2i/OtlXmmPWmMfdujSdS+Mris2lga4lyMCi6V5xg9H1E
fFzdAlVSl9hi6oYzZOU6vG/13HWPIZE0Pru4tfPN5Ka9+WxWd590XuqqwQr86mHYtiXHLDltRx+i
Df74/aVb1Ce8rlEEt3Ei8VfMoAvqvOmGbitot+DWGXu4Qg9SZ7jl9YyugOFrqKkhjMY7FcSrhtg4
NjAPG6vdDMmpgZ7J/Vm5g8MqqahaFxXuRQM3U4G/CAXE0WDvkycp3sNToxeycE5y6DcdrouVpZ+s
jPAynG7Xx2hyvrkytLktXBbZtU8Ep8XRSD+4VZSpZxjZqcqbuOHhZSCMzte6GdhSrjpTsC6yNTqO
Id7Wws/U+qXru+TezcYfTspfl+6DTQWsW1F7ArYJ3WsIVz1s3xTxr4qHa2MOYyroB8+HOSvsyFSe
xShzq7bNIx8mc6Wia5MyCXXIUPaSGMdRE1JM4t7Cqj6UuE02r47oOZZDoL4JFOT1gkdg4t6we8Wu
2sTDO+qWbalwyFh1DfQcpkVN+2nBSRstPlpv1b5outC33oo2/bLRSQdfJyNXA3MxyJYztyF+lBNB
sxUxRAZ2HvGx2MLr4HxucNunG7dmPVAOo3KSmVMs3JKcNpviw+n8wGzHse+G4UamLn7jTX48VI2S
Yrmy1Y4woRIjmrfoRMxXn0qUEZROcC9dYyzMWQvBEqfAqp56pgL+MRi2iCz5hg5sfTdOkUfxw0yt
qybzOnbx6tF+bpjvLUWfmbQ7c+oHD854NYSCWRle8W3GRcrDqYUi0vVbcivSse9zNS5+ehMHTeyK
Fd2NqWwz4lOzRHKW6y0TqB3G9FXgIqfLpQ+JPm5E4ervYseycoVMbeDymFR9sMkavG0bjWsNJx19
j2tdmHtJZYACG460PRDRpNDh5ueQzJYEedct2bsklMqWNmFTfBPXPVkeVW2oxuGOK7oaeYRPE4MD
6CgeTd3wJtNjE92Hzu/Tc+0Gir/LOY/ddNobbSlMjZqBbmyebvq+xuvXtGMH05CuKa3z/fOqYtz3
K5BH6LR183/JSbrhX/Rghtfpj3DNb9ma//3/HoGzTxL/3m/an1D2W/nlB6q6f89PMQXEKRZxBGkc
QFFBPcPc9ktMif7h0zgES46GFQwOvvTTb0KiBBMq/KYMX4QOgx/4028Cwpzi2TCYBzHn+juM+lf4
m+iPIweWiSRYJ4IjAq8dtsj+9d9MsDRCyfWVTO66pWdXjwlVPznXASZMQ94dLfChfN1pDkWSkvG+
P8c6sUUye8mpqzFfiDUUN9YCMsjbnvgHN0PhjtEf5ZEI3pBEtrkF25Z3TF48oBU3GYiF3PX+AaU1
ydnUHehGviWoPJAeLCvrOt5EkTYg3py9trI/eGRpcLO38+O0mHO4uPSldxQ6fNvQygbtsUe93qLx
aEP2qAI5l366bqUJ26WQQp8mzObU0G9ZPT/wiNxtipwhOT9x4h29wXz0GBmvsh6uqqFn3cT8HFD7
sZ9YQbzmSYTJO7SDDsAp2Iq4i8anwLBnBPjPoCuq1q+fI4rnnjcR7PJF1SAWF5xADcdrRrVHEwKS
RI97x06vamdYOx1eO9Pfqj4EadqyGyXiT5j77qZNvk54o3NgPsU2WItWdryIrMsKgfEjwUQIpybH
UxnB4GwS3VPYvsvGCC1ktl622vtI9I5mxHXRTO15ZtCvVWa2iq4NTETp8jGo06K1wym06hl+wLEb
vKFIIr0d2Iqeg43NFwOtp1jHICnhHBxTj196RqEAof2SYxyCfsIJuFtaY93EVaRfAaf4p7RLaVUz
1e1IT0my4NVzMDywRfBO9bPKN85lsWTqLdHEe+PR/tQl+qHH6UoXTHPxAuViGiEC7ByM89n6Avft
Qlj8NUtMBLsEaCHOjedYj5eExS/O3x4U8d4uOni2Yw19fWpeMxGvh8F2tBpNeysy4IvG0VzHgSna
2X5zhA65FySsaEZ2aMP5y9oAL42S6JAt3Rf0H/h6q0d9CHlqPi9QZN64JGl6dIOOHScEQ3qU9jU+
4u9PT2INnMzrhM+0WIReM6AgmadzgWpQwtyVFCQzvrnb33F0rl3O66nsANcfqAejN687jxVybJrT
uvh3G24GQJltduw8Yh/GGKSOs+ElitqoiBl4CIXv2fjo3bUMfmfm/AE9ARAMnaiog1Oy+hXYLXcW
mQeGSQ38QojbjtmS2GrgfMrXxrLcX5aDncQX4rM7tbAhR5G6iWaFcYLSh9VkrDR9e6tSeLJh8MGS
ZH3SOKufZdDCSFQ4BaPAlUGtx4pMuCB1GnWVxGAGlm8CrTOCHglwz+5PxTmKkHqYLXzQtBY6KbyB
yjEoo5m33nThgglAhvkMbSufe/C+ITef9ewdgwje7xLps0yBYkNLuXh4vMoF9i0ph7ENAFVL/RJm
Ks4TSYAgsyXNY66mXDZZX3KhR3DTvSi2afO/qCD8iHmqPlCDf2u1JUe5OVSlrk+Og5iG3Hitf1w6
NcDx2T/fOhX5FtdXRZsjuv5bMCttYbf50lL90Fj81b6XHAI2XDE5HLmop2qgvcnbTd/goSCkcE02
ombM+IS2Hu5Wd5jaZj0IKR6ahMfldy9mIMmVsBkT7+gfedI9+4s+zp552jpwMn0POx2Nc4WW4wb8
MgN2AuKHZ/pYj+Mpnc0rXJgGYO8wl6PX44btAAvdECfeCtP2b2iz3Eu8o/kQc1qJIdE5A8qVtNOH
NZUHG49XeDHfHCbKvB/EZeqsq1jgjlkaP30/GP9mdP3/2CEU2Lj7PXRqpk9/7hT27/3VKWAx2x4Q
BkYSADbZJdZfnUL4jxhL3WAx4GHK35nbX50CnrDsI5RI8bjPDM7Mfn7/7BQQWwkIDCEwsNA9Mzwv
7i90ClB7/yChAiuH7IxnYMAdwH97u/K7TkFkG5VLstz1C4dAVmg1+JfeBfFFbtATizYV79YW6Grm
vDdE7o56IhYc/mnZSPiYwdS+dWy6dsQ9Lb57s9ZBm49NSnP0zhiC+AZtaXpvxXqbieic8DSP+nrI
FTF3ILcu6TinhRPqzDfEK4QxUIlQE+uMuqOOotcINDswc1Qxn3drgUY7rHTn4eQh8WFuW1LEPTQ3
aprnFUgAONB4rei0itLX49s4nec8nr2wgItRROPmFyugypjBCdWy/tDToJzCdC20MWXC7ed0RsNT
K1HiWfZfVJvxYkn5xxRzbA735Rw5gqEWxjfUmo8pi48kG7eithGQQe3lkRGnMF2SchnIyTghyjVe
NEQO9xke8mcxOYSAGpUncLC4T3kh4u7Yde5MIMMfAmc1vBj44oSNXxmIptIF8uM47F1Xs0QlgLpv
aR1ut6ZbP/Exqa9zwiEXJ8jdwKWtPEmCx9BkuowhNgKMRKMy4KQ8Wttdg0QtzwSncgQDWoO2Qxu1
xRmvYsBGh36N/KKH9liRpvFzRrchn0NpQCERcDPoHQ5k4GNZ995aTLiac226pvI4BNHV5+ApfcOv
3B/6I6F2egqTZXtvt6UpBx8iAvoi/2ZNBXx723XPg15CBJWy9ONihHg0OlD3DTrTMwm0Ax5VI4Oy
9sMFQ76ecy+O2ze1leOucSF9ogFs50if1J8d4R7Bye2pswz9ByAuQdU0dnznr3jjjzWcvRevpew1
Jv1cCRpCp5nWueoIKVYRwjtEfilftgnXjYZ6ZMIbHHx4122lLHtjpHqG0EcLT823upH2VNeTO2T+
4pD1GeghS9D3xW68jadwgoXuwwfRU6UCeoU4yvKu59COom1X1Kkst3gHSwLCy0ys/mGYo2asEETK
Ign9GjjGzYCY6rXDofeeQmI9p3jibN5AhTh6RG6F8fSrC2vvBAWudGTlP6yKv4t5BOPr3497PxaS
/rmM79/1q4wjcEExUCFMupfq3Qf/Vcb31YwZ2X08MIjfZ8Gf7jmeL4QvYUbEwBcHqLT/KuOYBbER
LkGFx0rmOMqSv1LGo+yPTh5uZUQ38GhvihXe2Eixf/03A1+M+iGjeg3uElAh3YkvC+w6orqbtu6L
eEOAqtk+1OBRQjX1R8ugbfEGMlIDQmVgR1r30IhBMOsJvmM06Id0GY5I3KKRYEUqHCqfgSCMHsN7
HhgDU46Kx+4C3Fw3A4fymSaIJ2TB5nCvQz3BpPa1j+E5AXvsIGCQ5wyqCRIR3nSI7fS8DeJkw4iV
UbLccztFlZIex9f967aATgmj6GanFeC6IwvozSvEGv8bH82r3cKvxBvBVc1dUyDp8CSIAyHt4me7
eh/0Fqc5zL6yBdVQLBu9lem6Xr24e0x3TNchMpe7Grw5wjX4H/Oa1HOMf2i+QBwtg3AIwYxxnmNg
DUt4CDhphuiL331M1vsGGnJufFRWq5EBoE1ZZ5MuQWivMU4Y3wm0qVE0lWO02rM20UQ/BTyul4o7
LU6NXBrAPbI7YUpQVd96cz6hfFR+jXEFc7yrTEj6A6pXd45CzEBFyjFFrcxOD82qAvxhvX5YwEUA
plxUDmwZb5WpGcpX7OeNavcEHlg6odKPw6ZR7ubOVrGOST4MpqumneB3dIClQevkmGZ2fcC1Geft
3CLtZZeiGdLhQvsNxCLgtZs68dvS0tlcGrZkR6fZmsu4n02pQozCXhPVx6CbX0M6kKNq1IyMWc1O
Qep9XiZ8fHigsaqAhIHQVNAMQAoMp9hPv1FkDjEewB2TIy5VDS0bx7gpcNb19yRiXRUYmeadt/KK
BhLRyT7CYLyY5Ahq9ptwAT3CdWkQhPH6+2wb2AXvHOh0nBOfyAC7MVy5f6r9GO+Njz5FhkuH8WWC
qAZPvsPl5MnPIzxinJAo0iYxDcY8T19tNtgrs7M+At4Air4POyO40QofXoysW/KK+T9GYrF5BZoW
HXcOt8n9TUTHlo6IaRASf/YFpkIke3bXE90CExq5yzFeMErbwMOrlGnZSnCeuOdgYrahf7IbJsiq
acnmVy4i7gBOV7evPYDWE0HC+QE6siohcJjrVCPCeo0QWNC+e9sjcVr2PqKwMqLdYejV+9WjrPC3
esoHaofKNK5IFvPsMfUBG62QvsAZXTVig1Uh4PG3fgbGbG3fB3K4hzvBX1a6ZQiksObNOhMwkiPM
5g0yi5xInqTwvAaZqTOd029Nv7zMPrw4RgDHUO/VttOOfPLnyGsvfQw7FfnkI+i0tOiF3osIvcFb
cZ47+jrgPvVmXBeTIG+hit2roLlAoshyqYfbzI+/hCn9sPQexlLt7qdNkzPR+jRs5sls9B1isnXl
A1Qp1KyrpQXWwmu+HqNwQ+cqQSQTIa+WmUKT5pH5YH4zVo8YSSN1Tfztk4MZgzxReOJDc+my+o5E
SM+6SJUrhj3cKZC4JC623VKVeSwp/9wSKV/SbmpPLFo4fAHMsQ55jwuehIIITjoYjLXiMzUJapY/
yyqN1P1gvafUmB0Q7PiFyRm38sDGqlstwUtCoGT1pvSA7Eqa14NlDwJryHKD2+Vh3m+eza+R6tp/
6TQmTdXWnB59wNWPPdNjSUKI8qgw89G06Dq8BC3fGAdrtbXIhQEG71FhsvW4i3jwMjn8PUgqFd3g
eKc6eYVFupVdvJ1BQt75Ul1F1L5JZieqyPrhMbLAPiN/rA8ArvihgY6JUG4dlLE/QHJKXVK2cLR5
A6Wp5jw8htGeuG3xahuBuza0FvypjFgOuL3P1xFVyld1cLQSf2mi4Ug0CyLDcxukR6/tmrwVyMwp
BqlOCkCfKFP/REf+f2919qd3/KdW5//0SMp+/dPI+uPbfvU6aGj2hyYSjIM/WpN/9TrQvTNAf370
vdPZFeyf4nb2D+pjPTUonBhP7PqduI3FaciAYj15imcSxOiy/0qvAyPrzyMrpl+M0pArQp/+MVxK
HFN0Jg2WD/BpvJCexsgjuCuRvYKCrd+nmLtUiy5IDlm/fWsGo3AbrSvoBeTGYJz3D7QZJaJOSHyz
+DIYMRxUb3gebOgQMqDJR94vqPFjc2Dd0pyBVSDrPta4Ja1hOMMXJQ8iG0E0I8zwTJsV+iP0/TyD
t90WY2jiy+K87ZKM0mGoXvdefQbFv+7d+4Q2nlH083zv7NdgQI8fdPTc733/uE8AkCm7G/JjKnga
v48JZJ8Yxn12WLTnl9k+Twz7ZNHvMwbKJIwwjB3d9/mDBWCkMZEkGE3IPqMs+7Sy9OjOvH2CMfss
o625DfbpZsKYozHurBh7GgTdQoxBODevdp+Lpn1C4jD5kIclhZ0RSZH7HMVqb6rwy9hrbYf0Zd3a
BWHzRO3IvgcQozHBier5semiJ9L6cj6P39cY8H2jAXidQu47DtT3dQfptK8+aOY6W/Ioq+NjFFgk
EpI6ee3q2Z73Da/HWXZduQl5v7bmNo3Hi+ybW+WHVzJ5h8HYiyfScthgou1aQbsVCR+/orQ/8ok+
/y16+fs2luQ/xrD++QzxPw9K+7f9LB4BnKxducKIgjv3OzD8c1BCEgtqE1SrBNzpjzUtP4tHjOIB
e4NiXELuameJf+ldeOAy0K0fz6AKvn/pL+hdqE+/Awa/z1wIuiOZHiR7vfr9mOR8jy1ay/l2W7ti
1xYYxHhOxP8EJvp/qlEUD+NADB8SHTL1kGp+/4sCuPgqbePx1p8T+q5rFNofgW59O2EPVaKLaJJz
fDam3p7aEPAGNhjFH1qSsedxaBFwYiu9BgggosXXibtv1ugxWocFxNjK0AEuXWuil8WplNzbWkH5
b4MhLpcYHUnaef2dbXusfeHjOISgQfp5genF6r0Br+VHCGm0SggyAaWRX5I+tkh2j/1dPPtjXwRj
18NuqV1U9Ihgeb0ZLFaj2CG685cg6d4sfXunoSkDBJIOKBZsA/9bYsavUjEAfv7bbFEnYNzHxEuH
I8KWSMmOaOOxjYKKKnHiXCNDUUad4CWkn7Jf1SuCPI/YcHIbhOPrHC1PfcDg78e6fc465K4p6+Yb
Lxv1rQKgc+k5vRmp6BEHDk0uPS96jQE8nmCUIzg6qXFPDauc916C7oPcYA67NdLYcgvJAr9zC4+I
uL1bA+9jHzbIs7YNNPRpYnDg5ihscFkgZYXlf5hI4/1HTOEh6FL9TsdT5MqUyOYRkVevmrNAV9T5
7mPccyicCHZPuelmKHCeRq4s2R5VOmHpixcEt785uO9/ULr/6zdrhf4b4hs/Dgl5gtk/i7Ch7veX
mFq1YswRfWsq8ckigfe0PUGYzFUxneQJKY6mZJU4ZhWMhjy5xIeoCk910f0P1/of8Fby/cwH/k9T
bJtATIAgYPlb6SFxWJnADBjmOmQXjGSu6Bj80tHGIZgTmHZqqfdlMykSZzXxb1im60uAzyjtlCjW
bL2ltb/mJNxeJoASBxMCupmm8VCT7SXDIYBxCRNWvbkPqofhGmqFfI1po9LZGkHgphWIv7sKHfvR
BrJo661QManzLaHwj9G7h+ExRjw0VxOmeU4x7Qt5al2MAzTGkgV/rCyOv7BG59lJHpQLHDIhWlPi
Jr61Di6pYm2Xm4i9Y7D8gkjczI74uUdGgFW40DKqIEb77Q9z5d/yzb8vInhnsUw6xdPmUS/xgL2I
/qGI0C20iPLX+tZHsOqIQgAXSPsSYfemQtIeDYpi6PV+KV//3VW1w8j/QsL//Dv/8Gl6bsn00jFz
C2DvOUEI0s1sKDeTgR2asfmlhjic6jHPsAQn6c2UJwhLvNk0FkoQL3kzcPLR56CNFuO9QkE4jErd
hEP64Nfbl4SpF2G5KpVU4/XvM/n7mRxAavz1Cf5pWczNp6/f9J/6+b0q/OZIpnhKbohTF2vQ6A6G
/Ea73J+RnCD+jKDDrh/iSz+PZPhMyCZArABF8iPe8+tITv+R7ZAKwTfsC9H/GqyCTSm/u+TQdRDE
r3FcooaBDST7i/htAfEQnzfhFLC7mopDtgJgnkwi837Vt9HUfxg7Lx/dRMuNr5esXsVRCnbTD/MJ
HQh2fiyI7tKkaCIL+Sjrr6ghuPdpeyMbbDAKPO9Bco44y0BAiYn+PXyXDvuRKK1iPn4JZmjpE5lv
pxmgeLA8p714DRCES4Ch5VhZ9JLSvvSAkL/X4eyfZN1dmbA1cO0EycIpGA7zzG8HAMY5C8LnGSua
SsVjh3IRm9J6aQwUvH5drPkW9Umab0BMKjK0YwH87GnomgfH5KfNt++9VfXgwtkCFYxvVecllwS5
p3JG45yPGDJykw2fSdJ+aTJ9K5D0yrXFnzjDiqnMGNxjTUrZ9hBkx+3aYr3OsdUJjnge3idte+/v
oD/nPew0Mrmix/B3RB+N4cDYL7VpTdEH+zKzBgrk1iRYeOG3b5dlvefz1uSRP8EuiRD6s4I+GVGX
QgQPyMxq5HVjUXp0uzY9vTSTQwS88ZGAhL4cT8uZBWObswG2eUpAJQwz6G8PknFJG397Z0D4n+iQ
IOk+ZS2GrCm6wLZpD7RzX71lXS9saYLClz7wBdESqBHEA5YdvUlVcEadH+Ge1/XD6skBAuhEDyvz
/RxQJzaQeKDH5SybhyH1joMGF8QzGF/qZfXH7WgYVm/0Y4OsJcs48gbxIZNaIZ6wrKdU1oeJqa3K
Mpkhhy6+ILUhCmiHSKxjv1rVS+dKJ+oXhFvPKWSYG96Na4kfigmK8EPLpSt94J28DqZqkam5hKF6
7OqsKTPQTmXrElyQc5bc+gaZew0wv2Dz9mXWfpSPZoaD6sVg/TuJ7Vv1kJ14GyLnvJIbiDe0JC79
psdlqDQNEJqbJHpKXMpJ3LqSLbw/jGwlReClT5CkX5asa7EvyOAaIll/mozrC8Psk7fW5gxy+AuC
WNhzI2porkwCc5kXXMY0uwd077Abp49PnkieaRt+9rvhmHluqkJnbjwsGcD7jOR6bGFwNerzSuM9
/pqprJSGovCv2C5zCXAQY18ZLl5euT0mEtlvPRKujuGeDzsEnPo9/gp6+rDugdjMimc4fqasCQ+g
uiI2i1nxvWMI0qZ7pBYMeU72kO2wx2075G7JHsC1SOIi7gx8Zw/nBnBFr4gBq1zt0d01kW83ZHl1
Or6Z93DvPMhXjrRvGDUwEMl1If7DhjTwhlRwiHRw4zU3/h4XHmCBI6COll3o+NEf0gWCJOLFCjlj
sgeOM1D0w/cIcocXTtnJIJsM3fk1RegFdu1emuJqwFa8y+Ctn0J/ZbkKkNRVbsL2g3VJLxwrUKBt
uHqGizhNH5ByX4aDa8YY+wE8LGSLMH2/H5yzz64Oxw45arPoU8RJ8sK6IblMBizrfc96Rs6T8uKX
mqVhfdMmIP4E7aZypvUHQLQpevAQl0YNXbDG9XKKh26pbAuexeK6qxL48jmuwuc5nk9bJ9Bj1emp
SbcaIjE4E8uZzLFy64Fs252TM7bhiG3Dkh9x36esezcHqHBihNOvuz4EwtO+Mp096BQ8n2eTw8rN
eOrXri+yMXuM6PRVrMt7lQzbAXfxkdT6/UbRTyh/u6cxv87dmhRYCfMpcKjjg7R3rRWPgQ36Yppq
c1LY2IBrrb5DpDEs1qnrEGBuHXI4NujOcgixJy+Sn7B9DNZWOGMfTcrf8K79HBKLauAQ/w8PUq0j
mILkWMfIM7EebgGo5bcgGiSmLtGdCBgxuR35zI/eQu5YkPDDsrav2F952cR0riW20mQ9rwJwYnlA
JNJHiwLOJeyT2DA1NDWqnxaCYQfCiCVO6ySQsuHVNLgNnIA4gvkOCmExbcH3fuRtQsteZ2/qUd0P
xucF3BKkeADHqSa8jRvsJ0iYd0g0tvshcfq+S7G7TahbL61lMfgpxsnlS4utO0fr+qsd3ZAvbrrW
4/YhUWTfd3S3JgPyYFN6GWugE3M7HsBkn0dDXvyIYFuEP8D88wasAAT0KSMeFViglWPtZgmN/glb
G2DrhPE3mNvY8LWh2EZkurYCqVjQjdhQsbqDTvUlngg2avAGoJzOzhQbUrB/Elz1ssHg4U/gnz+p
OTuHMLi6aX2zDN77bt9V5mP5m56HCeVmOYiAfWspPSV2OA8evlqP5HVa2q+jCa4ibI5/95Pf+8md
APr3/SQySNO3Pys8+zf9VHiwVBkzyf7cg18940+FZ1/EmwUQefEfBpYQTeg/28n9YXd4eiUykP+C
nX4STRQPzoEwRBFLj7IA8PRfkYfBVf2xndzDuyli6VgIhD2If2wnl9Ghe2RNdGdc7BebW85wZ1UJ
yBF7vFJ1GFADgJWuH7IQ8qlh8RcdkTcTXbsy2fMerYMCOenmOmGHVC59eQOGUOdkG+cSWz9vnU5N
GVM9FMMw47iTzw1nFUJIj13cHuU6XdDpPqoRXU+rVqBJIzQKHYRvpECcinkZeh6K846KCUmM+h0w
qw8JYmZwaDdXpE7cJSy6C2xaUTVcMmxs65ItOm8LhrG5Q+FeGndEJB36xPgKifpxtiy5SFYfsWPz
MwFLSs2GXW9iyLsQxTtCpCtPY4G1IGNd+G6YUXeb9zaYXzq3xEXTNacQJyF6DixVFA2ygdOCdoKP
0W0n1KXvAItbrV8VGrHceQPqfU/udhSzsEzdtckyXpwA8T3zmgFtGcCsNpoV1Gf1rUkHv0Rcb4MB
Gm+vBDbs7RJnXzaON3eEQ/oQIpyRN0Z/ayAD37RDf04o9kvgiFuPjTTkznA4UdnuAWHKxAqQ3Rfq
docIS4SbfNldIxBWcJd2Jyl2GXvwGXawbbvPpAC3wxKH9xTtLhTf/Sh/7dtTtHtU3u5WtbtvFW2I
DO9OVrJ7WmJ3t7BhDD7X7njFu/cV7y6YFhOkI6xlrCQsMkjZV7QLd50MztPuoXFBXuvdVWt3f83b
nbZ199yC3X0D1gMfbnfksO91hXau6HHa/bp2d+7o7uGJ3c3zEUl7lDYj8Pjh9UFca0/+7v99t9FN
FHkP/e4Oig1/qdodQ5766YHsLmK7+4nr7ix6CLqBg4XbmOy+Iwubt2to7tFkyarxyJoP0/h56MHb
8SZFuHJ3MEdqIgwx+3KAbX+LeChfrEnadxKpvtw0VJ7WGZsQQpC+eV9L0CYA1/JmRGfA8b7nkfbm
E7GIrDQ2xrq9bOZfofJl0OOzulqY8E7+1B7mBI1HLSn6TUR6BZU6Rw5U5CRuoTe2lpR6FH2RLm36
sAXuoXXzY2oFhpz/Yu88tiO30i77Kr16jlowF27YASAcw9CTyQkWmcnEhff26Xsj1dKfMqVemqtG
qirRRQTu/cw5++iJFnuZnl3oGlDOp0BaiuWjQ5W87SronZmbNecYG5BnTBa3Z20dIG+HJ0uxBwqL
QtzrSv8cu2Wn+GoHSXcn9UnTNnFffYWdFdiLQm8ogUy2yAxoF+ZHTRk1qrDI8tTBPRa5bjEtmjUw
Wj0bGwrqCic5NtgoiItCOSpC3ceG8TS0SUeFLR/zOjnaSXE72q2nKPa5Nd9CW7/pqSFfqYE+R6s7
TUJRWHkDaHDGfjz1eED3rrv2nw29apSqJ52fJit5Mwzie41l0tOW7KyOqrYZXPt5cXC8x8nCrd7m
31obGzwu2UMJ0hhGyAmVIBbtVUFY5E65S2MNHcwgkRfO5bQZEOKtdcmhaIFa2a1BhTbzFmp1fu2V
6CGbwje17L8AY+QUVKvBt9PmJh619ym1rKBNDRrnFo6Y1sOliQ0wAWJdxreUQ4tGh9UOZ+TZLz0o
W99WxC1UT+QouV0c0Lnyb3ZqsunTDDZNV96gQ9njrsJUwLg4Ucv6GqPmxISSMG+bXL+bms82tFbK
ZOxjcLa+sCLKzaAspnOhd19LYR+K3nylqDAPcQ7GtVk+sIJjeC6nPX90tpVwzjDQLX5m2ReZcMq4
pcJkDRERspTNUGp7pbb284iISI+xzcfjHYPaU6a3Bgvu7KNz3L1dGBctqnaKqHcRRmfeU6i0Gv/d
fJdOHHtt3H9vY/sWcgLtXzkfulxIBsaZhxbpDnOqwl3Qe5kx38guu8uR02uxfMygbUir2Ns9GKU+
jx+zuPNwBqJDCFsbvuGyDzHfx5nnqDBdW1f3WNV+hn0xb7jHlHkHILt1buOc+jqyinsVT0Pwb230
ozZaCYD/vTZ6+BHH+ufiaP2q34qj1Rhm4wlji8N4HnX2/+zOjRWYYzgWVBH26yj+fi2OSIglO5R4
dtSFAmv2zyBCh4qKwRiVzLoXY6/+T4oj8YPo8dN4d53QU5wJVhe2w0Ze/wOLIi2qrErVRL0yL2zk
dl0CeRjV+69N0geDSKeNmofpni0xg3TNfQ47DB9hw44Env5Hl2cP9DPuBp25TyWpUoTHH72iHtqh
PqVKghkW0dImrgfAmUO3TQ3tbbTx2LT62N7kdX3AmcJlG1+hGxxy6Z7pjTdawxYayjiMBlBeG7t1
9kUM63XEYYKYrhstai1luU2tPvSyeLzXje6LG9sKmrvibk4VbVNWyqMi4wbYX9Ju6jjeRqF1kyWv
rGXeYBP0m8RMEBpzijR162m5eZNjxw6SpdjNZcnCuxJXGVMFqJq4WUguGIr+xmnDb5U73sToiPXZ
Su/EhHA8KsLzKNiNR7ryZWzMgCdOe2/ws29GWBxL2zzHuvotshPkXxW2dyvLniZb+dab2KHKzN2n
qXOes0gGGn9DqKbneKne26Rst0OYxsFIa+hJvTZ3hRniHkUx3jjI8Kvw2vbjW25hbEltPExOvetE
WmKKz1d8oLZ14AfXIbY/HbOOOS77ftSQvC/uc2K5W5Cl53GQO7VzBq91krsih0Q/FNPJaZfT2Dpq
MIbVaywB6g56DRMQxnDdztDa0u7VXMab0aqpDtv8e+k0ZzyGEUDW6OJixPaLjouxZRigdfq+DVno
t3X0qGfNQa0ksgsbDO1o9QieLfmtiOyHKJx3qBMnDCxw2FavCvkJnxPmlQUTi4WZhf8NDQebOTE4
TlCujheZdLfFDw8MZhjrVK7OGBdYiLV6ZRAjMlvDPgN6eY8Se2cNNYSK1WHDvwgkpg6qss836urC
GbDjcC3sEuw5YtZ27urXqTDutCtNrStZpxaYevrV3VNj8xGr32dByjmvDiCxeoFSTEHVD3fQ6hMC
fL3TMQ6lpthmFLybFEuRSMdjsnqMZDNfGkxHJArcdIvZsTyK7fkry5XmRRYd2BwmYc7GQlh3r6+i
w2jjNLlyp1ZufY9AK892jD+24CC3qSLRxerhd4B5nyFrbkSbGfyS2j7axfTcWs1Hl+LNq8ryzo7c
nSLTO63KDo6Tmx4oHb+abC8x7MGPMxVdv9ldNCMT/HFVUNs2NoYp2ZfdJAIJt41Rqr14ydDmmC9y
n2nF1rDm98nS/Xqa3oDlBqo7P/FGswFKlMMcKye0HTuZKocC350Frj1KMt+FEpnk8zZ10FxOTrWZ
xXI0qu5FqxufcXPk6/m0HXL8ZkacnOy4Tr0u1VcG+G4ktiKvct6Q565JdvPUb4mUYI3XH2LgHWzt
8HjnrS9j9zVP1lVdI09DhbljqWN3O+VWD9aSmqpWWSm4XxnO8RDM3jzBrUgZphrVfBZg2cfGoCDV
UVciWuO9NQn86Pd92zCVHa7J5PhtIh7VOMo37tycltTGnWbC/WUAybiCmRXCVFbF6oPZh5+11fLp
HPJD50aO19rDXovsCTcBbYqRM1pdBqjE8SaJTUgIMeJb0Z9Hu7iZlAKUMRe4iJwvmYFK2HL2PTVe
Q0vi2v1tbA0vql4dQjFtrUG1gzTJOP+mgkWBVd4bPWTPeGmuQo1QDyf71SJTxcMltJbHGsVnrXd3
oQ4opB42Vs1gdnJnn2X61rKawFA02BHt4LdoRTmFja1rdjdqsWwpMwfPhcJRV+pHFlLhdXr/xgSS
yaFuGgfNjm41CpEqiu60xTm5Drz1ZVHirbWMR9VKPcS10kurKAmYErkHIzJpfeR0a2QKzNL5Vned
76g3t0Ve+a3VBS220i307sIble46d9VtZztPU9xLLzdNqBK56QYTsJrXFPm7H1XD96Ttb+SkPmd9
cUggr0uXzqpv4vt+0X2dPA4zmoO+16qLnKYtQJOnVNMX6sn0mRM4aAvzrlFwKEWq+0Wxmpepnm7G
XFabFiwRHqKV8gEfCD+RnMxrRIYH9kiOcTEfwtqF46qF9Sz2yD3TZ6SrY+prSqFtlaUbPWdygkyN
D7qZ4pIac7wmpfwmBqP356GcVjnEu8tUVWtyA8EEls1Ip/tolmQTGsDqO9IU3C49d7HNcTlPpB2U
8UuZ6Ez+9HuiR0bKV8jqsv2KBsanoT5iyLy21nRYdM6vxqZJKsziaZqVZyaCVJd6igDW8KuMFs8h
pWhI4dGKxSHrpEJd1if9XdMxtTczm0lxoYaQV4d8AoNrDPKXJe5/XXjr66rvf8oTVoHgvEwAyXjb
GC/hk//9KrCtiXmaXcO9ag/55tXcDre1B7bEc98f79tzeYyDEnVDfDJ3oy/35VZiGt4n53+Hf//7
F4bBirL7mwKXnNpjyaw1Lv5c5a5f+luVq/7HRdwF3gCNk/bD1/LbCBC/I5FaNlWrawtLpQD+daPs
/IfobIZyZPEBnfsxuPt1BIhC1NH+3zf7URr/A40XgtQ/fooclQHIGo0CPZBMsD+YYRgN5tMEpOY6
K4MF8VoH70x6R+EkB6uXxTUW1jmWtrxYJpbbxTLv6jl1N0uk3huhuE+b/hNRCDiDSR4SwqGkrW15
RE+prnvKsByzAgRCweWiQ5MfBOa+yjipGSxko88vFPrbMLJPrUSXOCt3ViKf7Ll4MafOc8L6k204
40CH/XZxSCEbS0VZldF4Ix353MzQW4RKUZtd+hmxp6teJhsQt2tB+XKWnYkphAXMk1mDt+cvCrJm
/MBheQ7R/neN8WZE2W7oumMRWlQL7s0g6kso5cXl4nYX4UWyuvQQCoyyPoMoeqGZ2UvUSS4CWSUt
r4mWXEpFC4be9et28aU6UGu3t5Asz9E4e1gbd8x2AiOzLo3O9el+bxtXD/Jk7D3Z92BqnPcVZRZb
KNqS4aC0rj+YLRzZBXV34ufVsrGq5mFu53YTTvE1Mm1SWUYmtNYTwJn9Mrf3QDU/Cn264Hu7yLA+
DRbMuqU/5s28hxWDZr76bicVXGmA2+F6kYh7ey3MsAbtO5vrU2TjOe2pZrS5vqnD9N0oxb1bWZ5E
zboC7xhudKdIz/0lGg7NUnBBK/eJO0HDCp9FPj+BRwgs9ECbWoK6xmCEo0OtPTuvz9x449Ya6+ku
Y/vsl7H1jiK32VX1tHMq7qVoql50HTtIPk4fhflDnttEah20szuSedA6TbJP3EIeurJpkqtYlolC
QFiFsRsaMGOuNvLuT+3BVEp1V0KCXOVG9ylju2PBpNNra4I7tEwzzpO5DPgl8d1mU0wzAN/JD40l
udc1fZfqarsxO07JQmtXjpQT8CetjDSmVkA1oM9VMMc7R0283h7FHpoaBFBrfogFIj2W3hNXD6Ro
MGVkKVQ1nqKofXKaTg3ox9bJjH4XOzOo+eT7aLJGYnj7qOjh19IxfGcW10U3t6JJUe6lo59iMRJZ
+EmndcYh8KKgyUvOTd8NAf8u7qEKAy5IuCDOyzu9BATed6zmB4RGoWlp3iJFittAfERwdzYqFDHG
1nXvt8IltGqIsCknZIP1jLUEwQ7DQOfKzPwzqty3YtafTNP65PdH11xCBJpnI1trP2aYuVH5UE3k
pkrJPBkqbV9ljc8W7Aou8ejk47OY5u+9rUIKcI7gqkFxK32AQOQZOWGAGLG+zOFYb/MBV5LeK9a5
zMIHKBARbtq0DfR1/tYLA3AKpl62rbzKdf5NKdckmdX5a68e4AQzcKhku2R1B7vLgFGO7i/DOByr
9gc2iY9JMMtqVm8xHNe9sbqNbZnto9V/rNf61qkYZ9eGvguxKHerV5ljinQepmFRD4MOO/McGXxz
RXyNV6ezhUsP8N+HgmqxXb3QU6ii0ApfjNUlPbskzCB88cRqoF6d1KJDN7tgrpYjUTZqMs+wunnf
pzB8NdZCM6xCm8+Xsa1Xn7brjjyiq3e7LHksYTS0/HrG91zVp92wer17Orw4BX0+5tjA48XidxuO
FQbxKWeJPy89uh3jMKLtlN0ARk09dqu3PFNclzgawDQ9a9pUqg8jRnSzkI9Q2CBsY1EvmgTRAaN7
gLjKKe6hORVz+gQNBtlvXtl+9kPEL2VabNHDI+1XSlT+BAaowOFR/gugHlicBHsgsDLq6g+YC0r2
YvUMTL1+ZH5xV+UtkI3VVwA3N/b+Hbb9GLapXMv/vRb5P1kVF3+1ieSrfi1DVkG50Ak6o1L8Yb39
adiGXxd7Lf/5BVz9uzIEHy+BwKZhorW2bFabv5YhVCirh9Y2KTFdbCz/DGn9B2XsKmwD3wA/2AIg
wyyQ2d3vhG2IHsYkMZzsqmj1lyhG6LFg+dNm85BpDGwSCu226QPbZCQxYI1nnOLOKE4dKPXh+jDk
cf0jeIO6nSyJyFS3KuES45oy4cCb94ZoPqld6LOjx76rdc+xwwg/I6BCrkkVg9Lss7R9zy22Y70m
voWMULxKyUnxMqebicCLdE2+cFJcHyrRYtY8mNyXdH1EYmV+k5uTDwSt8+w1R0PMqsVghGyNoqRT
m03T14nd6CfyN8CgvRogbRGUz98QHxxBThCkADRmEw3kd+SAbUzJk1zY7u3iai/DmvWRrKkfUhJ2
mK1JIMmaCbJEEGJQSSA2CbnWu+285ofUuBI3OpEii4zO3O83FVEjkr8JaQ5nRK7r92Oc+kOEbDwl
oCTU9MeQJENML32+AZWFAHDNM0FMiJ0RuVVuzLFHxOeLs6afWOhx0P+ZQx1HD52eVG9qPT7Pixhv
uhVUYYDJz7QRNVbdvBHYcogLNDXVSPffm5B2RgxAvYEaWYbOWUb6s1GzSuvj8Yr+zwrStF983Vyi
YHGBHkaNuyKq+ntDkd9MaBg7AJCeBtbxprTeu+kd9uVWVNZ7OxvlDiXOjkVTFDQ0jOWzq8niAbtn
lX7G0fJtnBDOI84L7L4qGdQ10nHe2SRdQj7fB7Ur1P3U6eVVb0L3KvKwPc5u6AkXG8/I/dE1HJ+q
RF0ihTtfjGRh8xOX+bgDnfuCQc+341yejan8BKen71GEuEwjCc9aNv+ec7+ccwgU/uacy9+/lc2f
2y2Vr/r1nNN/HGaI/R2h6w45Rj+dc4gxkDlYHDWQB3724xFuRN45vdYvmJifyf0OlhpM3eqv5Bn7
n+wU2Cb9sd1aATIqqotV+oEb4Q/63bIyiYxBR3hVM+MRt8aD3jJdF+1dOqGBIAlSHiOVy10Te4oF
GoA0DbfhYJH0N/UhVlBaLXtmXUy3dK9SCYPxYrzBiN0iVkS761SKTuHyvQq7lNjmK+3gRpjbK5k9
NDb24aUonY1WTmelVkvW/YhrYY8onjKZoW+jK0WKpSuIPsb6ohb5o41X72wPS3FKdB2TtKXXGNp4
xPTM3okWL50zlKNnSYq3pSkeZUEtS4AqEURNe6grE29CF7H6hBpri/wTtvgzXGYyM3RzXxrKg7Kk
qBbr9rysCNbFjD7IXWCebvagZkpM780h0U5aZHwb5HtjeAwIiRVGPTEOPeCGpYcgRwvoF9mU+vrS
VkE1J+/jwjE/dc23vhuPWlcxm1X5g5ohPDAnu50xyFCdBMpy6jvtOAnnzUysQ6kmgmkly1c8S6cm
atgNIvBjpo6ucdKu+Foyhl19oDkqb4lht5suitqDvSIF8MHcE5Ur7lxFfp30AsWvA2w1MzIv1qS2
1esS87w9aAyFucqqsOyCLF3jE9NR2zSqcwITcJh7zArsm4AyFPdT2nLkLL0W1AYDNael8bRcuN1Y
IeogqrvhIepUNq2a+xIpZbKBO7Or1YRSy34U7vKuKVGxI15403HsUaS5fqmjLavgNW8qUe1HddA9
q6uPhsbfsjT1zjVyApBCrVBvK9EVD7Th/OCm5Toor4tovsYlqjJ9UG75gL+7JV1Ug7jkKFPtlRHp
uUHA4ivIE/x4ND6nsf8cyI3ctt0Eia91wj0I6A9IeioaHp35JvbNbTz2D6YesfVy1OOQJF+qxb1Z
alovs5Q7DOGnekZy2KrQFbsIu06ZhiDf2vbSJQuPz/Aoo/CjljbLMAPodqLkDyQ+UWfr/Utt2Ie0
pqtzTIZic5lxDVo5658CKbJJfavKIxoexLzJ8sD3HE81jCf8+WUZdPg3vB+8ZRrNdKu565s3GbOn
WqEF/k28tGXSQMQAndS2RXFs9X7yJgWVgJxjmpEWCfkyteVrpIJ6KKRsbhPLRM2BbX4qZrZQff6M
nQfVdydB3CZoR/QSlIJRFUGYsWhsKfd52juCAzHek65kSTJL+4O6kCWDVPdga2G2s/hdNrVlzBuO
xY4eoL1FVLFsyhqnV8eGRwGiUC4dOHQWLBUcBJ400XngmCe2C9L23QgPj9AozvkHNvO3Ce0Gk+0n
bUpuzKY/lgbuI9E8DPZAT9PmO6mEKY7/cCHsVbsMU/8Ulz+8CPI2F/1dGo3PTkq4ar68tiF4pZQ4
kE1eJs8WRCMxqfu5bR8BX5DQ2hfqBjGRwQKF7qStA1ttym0+Oy1ag+kcNsZdipQymEYtsPXqqPd9
QYh6/12Y4VscaVdyCS7EKNyCoaJGG9qPMDQR5qbLayapLkTNUgxm9Fub28ilZlqwTq8eSynYH1Ql
2Yl8asjNmNNno0/MPVMvhgsum+hAlhDfzbj0/73Cf1zhJnPo/36Ffymzv4gnXL/mtwucoSj4Fmal
rsaW32Rg+du8FAgcBlFGlTbnG//487wUSSTWmHUWruHNZQD7U6MCwNVihe+S+ILa4J/c4PoPi97v
x+6OamH0oQ62IYi4f2hUumYEyKon07XqkKVUTufbYfNIFoT0En3u/AUwyGM8aNlVJ1/goe1DwjNV
jc3YEmoUrhMjjhLaSC2Mi0HVEYCWB9VsJ5/GYg1eh+XlRtbDB9R+PqDzGnZcZ9OtG0W4YPLC9lwM
DsSzcdKqTKSgn/tDLMtrHhGhOwIsv2dxVux6PERBRB6s32raE4z9bJ+xHYO7AqLF7A/G7DxGkEC2
Ewh4kFsonDO0g56w3DdFtca9OzrPxaLHT7UYy7PU52LbITWHl42RVeMluMaaE4Iw79w9a7J1u6Nb
mw5g/36sbOTYkeHuq4IjJ4rs17LlBhYVYrFVHdTXSPxcBAEEYzNd6j1MLaS6y+qo9iJI7UgN9Gg4
wn++YYT6zKt55sanouiwjJYWXUqRyjdzEKxWeXC5kF7Arr40ZpEFDJGI9Ijih06wUWRXBkSv0GzP
iqJ9uuC2Vaz804hgkk6FdbQasqWBziI9xfez7RQTWFM4omU1FxLhsoSUguqhVMKLyOYPZ4n3xop/
EpXxLZzbW6Ul5w9C2spehUVTj87FAJJOQuVyMUve0q6a/Hoeb9Pc+NCN5gWk21fg3jgpJRCVbLpa
pDdt7EojvThi+qiM+sFk14PFY8IRFbnIBp3O0/N1ScYOf8pZ7tsGJCpNfqmi5Q5V701Sw/BRJgIE
SHdgRhSWaGMBWjlXY1YT42PdIc0Hu8P6xODsRvmBF260BhSOycUubfNTYWvPyEdsNGVmARnWm3Al
FatDxn1M02gz79voKNshIDE7HUAOhKqGa9ZE+z6bKTGGjOlbZdHvG5Pbc3Cago1s+rXWKwFzNZ6Z
UkKTKxN3q6os9Ejh4EXGYn1QZrj3kcnqe+QB91Q+qUZU3WcFnqAhhtvvMFar0lx9LGTIFFyIvYaC
DeIr2S2YQnNfD0fwfCqc/Tn8nGcINYpjogQ2H5sufNOLgqY8NTwsfBeAstlhFHjL8rEHGw9xnCgW
cbU7ulIMwp1XAZdjiygeBmDvXtiZJ5IGK88tZteDd3pssj4+anN5g9EHU1UZ8y51Ltq015ZAD2WM
UPfjzBFjvOtqJImemze7dk5p7mfpO3X2ITMTQGDFo85jUlX2xAubv1WyPZLuWR1ShTxHNozaFTrf
CjJU5D1xidGxEA65n054GWqkd4lrIaOAlZ4VA59zbLoME6e7WSNCbq6rlKwHNI69rod7te7ILGxL
sZuj0PVVpW4PVV3cRJJtOM28cWytaDnWCTAPUdZqUNYVKWIYFZZ0Pipq9MocBEB7Ek8ep196UGLh
ooWujgp5y9FE9IOVVF9qQM7f2yJfzWq9uLOT5HNJlg6qn2t0zb8t8C9rx3UD99/vz4f3onv/X5v3
5uP9r6ys6xf/epEy8VvbXdsQyNjWIImfLlL1P8zycBeseVY/Zne/LR7N/4BexfoK4pRUL27a/7lI
DVA3uoWcZr2WdL7tP7lI/5zBZiJ8YyWKrg54jrHuJX+C8BkSrXA35+Ii87elvUzTl59elr8wZwvt
T602zECBHBDbLZ4J0169Dz/9hD5sRUcR2F/I0AnYL32fYSZkYXJvNt130iHADzexnwsqcUQHBx7G
fVMnqE4r3JcrjaEEy1DY3N5gGpJebgXYBiUjgklfZcLN5LUr2GGR2VUbVtaDMXS1cY3ylQGxuq8i
XkQutRohj0FYLLRW1TwgNwjZ/agQkolO8GfUCb4Qcfat1lf2J/d0IADb0Q5GymtCH+27qfjaywmf
P5IRVgtEyQFnR3OhOVdMYUqQOc2r20RGoOna2tWJ8TahUMbMUHZbrWGLQgbJzdDEbyxlT6au+66b
z6cx4jLMinLP+bj4DYFWoZnt0BueEaqD0VoKCoGRGaeYvuepciXiE0Y07rVtLxzUI92DDU1AUauD
Ubtvqarsi6o/dpUKTb2f76bUOSYLcPBoASPXcR7Z9nuoDcSmI46IkPD2afze0TTTE2PPN519FiVX
haQxk1GaDPUvxPAc3d7e57V5EkVt0vcM58xYfAvFR1MB6J9rrCACxR6GQOx32W0T4qhoFwwpsfqF
BdwKC0uOQhGPXaalG30BEo5/4SEmV9OT7YTK2IkPc8aG2ExMJEyJtVNrxHOllb71Ari+2ni8F5Ds
i27YsnY6TshAXTG8iNLwRmleuJe/tN1yTWNxL3PCcclX29liOMuxOZSwDaMpeZEDi7PcHffZMJ6k
nj1YWol3O8leAMc+43l4scJ+WzbWkVimrTI1b5boKqoKJGlG+6Xkj8fzOu0UWJFpxqltw3MMTcAg
06kaEw76OqIsmQu+qYPWSNgh7AH7jacAd23yJQoBmkwthgKl7/nY1N/nMtk7XRIIo3pbDYyKoj60
eBY3KcDHYeKyM7OPJQ3vUuTfdLPRKSW3kQBU3JRCsR8lkUpsIKUXxREzihyMm0Y2h1JJ1pMLMyNn
aotjTGKzr1Ta4JvWQ+KK156wwK2iQ0VgKsvTk4wPqpbcKD02P71GRm7WQMkB1N9PUFi8noDnmyFS
AeJbRhu4GR5sXcDQHVsCwsERB7FpPVP9R75bh84HUVFDINHNoE2vrJ7nm4lP6+WzwiI7iYcYS1Js
nerKYsTDS7ExEFh5jQIvKclK6dMJNyy8FcryRYBL6cL0vkSm3IG/V28q3B+OnJFy1c1Nx6KREUqL
hH6ibjIokDS9bvcUbEkQxf3J0iLclGlV7LQFryQZVMEyrdJNkVVB2a3ToDzOrjYD6tTLlPaOMVzk
hWH11Vzm5yY03u0U/pOhnRMMjJ6LPZ+cZ+UUsqdet9nmJrXMCTtFmT9gCod3r9lh9tKnxf04oNAH
SXAVjNA5WbwmESQkaMwNq+IGvzEHIvsAzV7V+ngSKqZhnFFHYCR7eH9MihgSLN0J7OZOmhh7M/Ul
ZZFu9OpxBIC6K6b0TSTwRlok96ODfljrVLbfIrY/qpHN57KsWwhByNxjquXjdoiNnWGXZKaTPeFJ
Z0lZdMbNeXHSi6FX+9Rt7zREgN5qs5ly2vtlNH2OvIOuhT1Ru1ZzyObhySJbONdzjx6gz9CA9TKY
Ifm7nDn9cVSt8q0QncL5q3yvW6niKWJix4+DNl9Z4loaWYOWMUVfOCRy2BWIF3Yc/fIlrPkJep89
Fjm53xq357GfG7CMSXQpSJ8miMdwIDFCvBGl/Ui0AAtwkQgkV3oLA1GE4RaTzaMVzo8O3cMrAYL4
b3qEymYfaRt7nLbdzGK0UodiV841tja+cIMRq39t4szZrpTiZdVsS24l2e0F6oJNOlZbw8mJt8nL
L7Rph2Jkm26jymvLqzrbx7Sen1SZBEMMGqms5FOf6Y9OX7s3BOwM2D+Txi/DDBx4T71cqeqXtbX1
jUnUr71VaT4h9OhvJR90ssrBD4XGqz653UOomxPjKcUlN0Kdg7+/nmnwfxKvgU4Bk2GtlHfmqPhX
LXaOP1/OFLwWtPKkIFMPH/60HExrvBubdvv3P2Yd6v/Fz8FjYNoGrvk/FQGdveRpJItLnmXn1tKf
OJVuHcptjsuG/MV1QTNn+2GqtpmT7ltdniSMVUcvbjipTiYNR+KmdzLEVUVhbEiCulwCFqLws+wt
Ftw8AggAL5b6/6PL/OVvTpPOooAhCGvb379CZt6X0NhSkinZcEbzo5qgcy9Pf//6uLhMf//6rA4H
cltXIRlYEfsP70Pbw2HI0364EN5H92mJg1FyMKjM47fIucwgVIZXQiTKu8LlM4jjeXTGdZFYcVAZ
EACSfCsVcKeEv7gPBbdSXw4X5h0ZTwlB5qZOuhfU5EtMiMoUol4YdZ4bK2c/OLsgn0wte087SFpZ
FO+Wkb6z1axAZnEapJ3xVWn0LdSk1ftTWwwqXc0ra+ixsklpmFlzzNI61Iv+CWj2fbLh5JpqvJns
7DwvNnxCYnH3qjYmZ1VWpFlMWOUjDZWMdBMbD1H0HPZa/liPJveHFp3MnH1Fa1Xd3gLwN5RccRru
gJls5aBS9StQlsKfFlbEqMBPofrewzIy7QPn4hdHySDDjtp+TgRCZAIRC8YfaIxx7EEhXASlB4DD
1LcjlGyTku+bLjcxV03HXh3eUyIFvs5kcagWQhM7k6CAFhq7tt7GRktXr0/3uWVlFxezomYt001t
t+e//zigYPqLzwMPpMPHYRUGrq7kn5/L0CAZkf+vu9ia/m64LcqZasguFi0j03v5BgOOmW8rPc2a
fCfOGGQYmOvsFZQrU3vPEP/ckVsIefpsls6rIQq5bXOzhvyiikNu4ieO4jTHgTEghi8FIQBc6v5I
tKCPLId6hINIzUs8tWb9EOW0nJpsS24DBDkd26+iqrfki35tWP8y7jMB0ZRw/XP9ydJnamfE8Uan
+bBlaww2WBSb0XoFcH0AgPXNsieWHyPHgJuBLZkemXKcbMJ+arQCDEn4hEC8nfUHcxjOaSIf6ti8
z213Z83dq5OmGF+LUg2suqcWrIcAiwm0uJWHbCS4JNEM+OCc3xU+E17lGl80Q3nV5ADFqSNZVtrq
dlgUwJJTGWii2alqciBRItDZRnMb+SJFS+M4443NVmjUhpZrvvL6rHs0xuriOtOhLed3QLNfa6N5
L2zoFDO/Z1/46ZBeSzmd7MLajtgxpA1bM2ZaqLvxXVop6YGo2YDExMDKwNFUPzZ5EX0JD+OguHdQ
O79jElqpFciXeiZhXZ96VkvQH5kSmmaRS0rGiwFW2VlxcyJaGNdQoaa9PClaGKTa+AJeZOXI3JpS
bCJZwipR/i97Z7bcuJVt2185PwAH+ubxggBbiaL65gWhVCrR9z2+/owtO22lnFaG4zxeP1REVWRR
JEFg77XXmnPMQ84uHo0MX5TscajadU2yJkl/uqco7JpZMK47tveiQcPeS3XiZam0wdV6WHAmWA4x
eqMSjqtWZtFdkHcndJmM0T7h69uGRQd8uj4rbIOqt8uIDq3Gajtn1l4Px0OlYpIyBN5aq2KaS1iD
IwJApZZTQkYEFMbksrcKEilOpuFbgEno3mGrMAH6Ie2zhvtKhpuSy+dIX4GoBPpZEo1EdAUBYRLq
YK1a2pcrC0D1ZhwWr6Ju2DKoaUmis7bNQBVi4QxBmjH4+NGVX2xtv3hSNXH8fXe8VSNnhqGdkv7J
vj+05zlt2WkART5epM25wonl87WBg//fdop3K4P24TitRlHB6YKVoSxfFeKfp6vBOSvCB2SQn78R
SKy/v5MJaQvuJPoiXQwH3n+zsQUll8jDdFyUOSQucGpXcaDeGG1IhmYJQwcr/qGqYiaIiqyc2yIu
zEywpdJtwpXF3121ivQNJP7lVGi2ixz5jvCNi1K2rkEYElycrLpWvZ7CdsKKFa7zLn4qEv1eirLq
KuwBvBhR1G1yoz8YiUx+meLPCvNeSrwN9iPrnmD562qB7EEcU691O4JWDks47wzCkpGnHBq2bYgo
h1SlCdpLoN8JQ6qU+7xq/DgLdmOF1zabsCAbOTgrkC2EVT/Wk9Pcq6GwR4HP+8VV/bHf8ger7t1F
/SA8SE29iJvAno729BQtX2b7V9Hdv/jRPmwcspRRI4fpfIzt6ypx3Fq7/cVt8fkbvJHR3t3vuZmn
cqqG89FQTzHUGC6THM2/Cwj/0VQhrsJfw53vVwmlGyUp5FPzw603WS0kLp1vgVUYg3Q35tQkt/j1
f/FrqD/e48jdHPgdTKvYauF5UJn+eI/PEK/GcKnUI2XMC5uad5OtA0/yYZOv7t3Cvd+Zq+HsyxVa
o7vJf878+QtPdLvVdp9f1TcT68dv/O6xfvug7y6rM8ROJYihR+RfnryCp3/db8jnWjs+Te1mrWy4
zmtl1biAJ3z61YOvH4uXzz+FGOr95Lr/9ciLxefdp8Aeldlqw3V/mHaqz1Rr7Zws96JFRu5t7o3V
menlG+fIhHxbXBvbm8ALN9OWdc9dNgSpgb5yU8/xpLN+Sxz8ReSixA69O4RmRyydG2Pn7MoDGOfb
fH39+UfXfvVgfaigJbWNswr4wdFwS7dat6/VurpRvHqFrsMjJdCHfr0vN6eXM7/fGSsO7MkeEfE+
OUJsX9E5T92vweru80/1QWf0/Ub+84KaH3aHGHFtA7ppPkY7x41WyzbfBDcM2VOUxS7cfJd8Q5f8
oWO9VZ9opPmfv7+4fT/eVab+13P0YbVhqWGqU83TUV5K3xrHA6yI49AjOPr8fcSq8tn7fFh17NjW
hmHJoMmGZBONL/K0Hc0vs+bXMq7Rav35u/38p/7zW308TEo5i79RJ/0xIhRjDq6q8PL/9gYfznza
ZGemmXOASo2DmtAHdCzv83f4xQ9jiQfx3YOGLMsuUEvNx7I6tnm6rtSHpbd/8av86jp9WNxaJWuT
wUq64yR+Fax0zpSs/m/f48MN1pNq0aMrn4/jMK1i85inE2S10+dv8ou7y/qwKplBKM0059gNJhMZ
aOGnWXehkc9twahLRvU4hPEvLt1Pfx/jzTCGqQ/X4o+/D3RRDUxA1x/1/FuTwAQAs2tuPv9aP/15
3r3Hh4eGKNNWqiN9OhqI3ST5Ms9/0VX41Rt8WBLB4E1aUtbDUWbRphmdatkvLtPb/vjZg//hPoax
Y6tBxn3M2QCKc7gftjg93WW1b1aRH14ALfmF3/JDTvD3JfXPp98U3/rdo6PQ/1M6NWKPeqAxXLCq
noe8tzs+K2fLbnBPCxGXbN2GD/rStS8l9wp9H7v66bE+aXtO7YR1+HPnbotVtPnVx/vpRv5+yf14
58QNhJuAh065EBu55KLC1neFsnLTje7dF+4eZOThm/yFw1lzOx+wkPxi9RL6m09X4w+/O5QAM6qd
mVrCA77pERCKIsQ5ZN6VczTPtE3vParrwC3o2K7xf23slfSLFfpXH8H6sO9JExzQYqy6o3Rgnu/R
2Uy+klHqWYf+ddrCOj+zNujJv4WP2mrapBehl7x+/nS9Hbw+uTWtD/dJOmjoeQtuTbQ169oFmCSq
ul26uhl2026HYcpdjvAM70m18/J1tbFO0Lq83ic7w42esl+slG8Hs799nr8ed+PDJbElh9lQwZJS
+/rG3JiZN62X9XJGhp/7Eu5IqlnZu2pLU+9sWlm3vk11UPjdJl1fx54oEv4oDv5/z5NBtcYq9M+j
+9Vz9jwAoG5/ImDnhd/H9kLArhBNYyIywzSsc87+U/+GlZhJNk1zxUSrLjwyf/mFDZkXyaajKtqP
Rh3rN/w+TOyx/SCc1mXz34ztYfD88JALow557KDWTSIhVKjrH/oARWjDVhtshg9yFm4rUHoRTFu3
0cZDbw0zsSdqe4bbqwSJuaChnPoTZ2uocUX+pYH577VSC9E0MnxHYxQTjqaGlzOqV/DqeFoRQHlR
Z9M7qcXkcJzyU00CX2QwdSWPk6dWXg52oJ01hr61SwcKnRRtAJLeBxCTVwyXzpdmxuJRpsOWztk+
zImtSnVjv9gx2GndOjdV/TY0KkgRsX3pjFaK9S1GOd88IzEsaOeFd0Nu0HmKI0p0HMUr6JvnZmHd
T0EKD0fTHpysvDfpQjipcjZa4CSM/LyzkQk1Y3RbNAH8LSWHf00nb9GviiIhJll6VGlmhuQ+INKn
RdFUZ5VVPqBAPGpRnriRgcdvQkDLTfHcZUhfiwl7pGR1PkPUyMUzhwGzmWiDA03wbbuAQjQMRGgn
+UUzTuhsQm1bRgjaUF0fRxFIES6jsiFBdZ2YNWJypnrorIDiq8tJC8wXtatu0n5ejzbsMS0sTpNu
ruco38VqjonUak9mb91GdUAbRp8fzJiRXjwalcfQgpFlEZdrLZ5br1AtKJDLZTMV1lqJsv2kZK/R
ktf0WujLRg3nx0wNVmbpXFAZqsgwrO1kh9c1bFZ85syPafmZMxm60JjWsTXgE6pjP+6WxO+0btg0
vf0QmQAA+5qs7KyMN7jCCjfNyxe4IqWXdHhz1FphigPeRIYx2c1bUMGJSzjBl6bRXpl+vAKpDLdh
rR9DM9xNA73ImbgAP5kz/U4zUplseRuXQiAy2+p9bpi7zFDODbQfjR0i/85iElynid5AaM4b+81F
VBh954+DdBlX41dnScdmxQgiWclo6ZeaGbKFul6XapWghWrrmELDrTKMp81uo/ywt6qQ6JfN9Jw6
+g2psN7Q5r5MIxh/FkA1lP2lNmgreN3Dda0rtR874YRIEj8xOmYLuh32gC5jFqIZ2ZUzhB4kY+LH
8RIUjnkWDK0CH4WGMvIKnguLdFcbW8haEwNoYo7lNSz0bCXHS3+YcS0QIPGiCRtDh58BbZwsRu8N
pFu+S9SNeO4XVOk6OvpQXi5QflYig2widrc6BbgmolyWvUoYKUwcFVlhPnU4LNryMtZ1FA2YL4Dr
BLvJLI9TQI7xgEHDUcuvyDVxCGDdyPW8oh/bpp40SalXCYfHaAhfS82YJlqkDQL8ZHlShSWkOUsS
uuKjH5dEXdQBt8GQB8/zgpdEnevzQLhLCmwmU6VvCwU6/IwBRQrT17TnkVGLkntbDH0cLITCteJo
5DYPWXaDrfebI6wt4cR9B80dbVwR+jqBmRwtl84dwro4k9TJOFfwyUgxPOFpAPhiCxON5SwBkyKM
NRDXy1XYcPaNxuF8aFJ0ksKIkznxddRwNxt6qOyaLImYffCLTwEg0nReLlG8msRsQf9t84HiEseP
Vjc90EserGghNwRkw7gi6ylYD8TReSU6vy2JxJBKEZfO/K1eqy9ROB0ynEZyIKPwQciuqMM+ENJ2
7c1I376Z6qtJaR5Sx2hH3yRNMlm1fXLo+yGB10hFo+LRCKCcJ3FLMHIY6b8fGf6rCZRPa4LDa/MT
fIh4zfdyQLF+M+lF0jy17N+Bv+/LAdAdii6EdCbx5u/KAeM34igUpqHym21XoPW+y+H13wigwZ5k
GTAAmC//KxXfW7/gr+JS9DFNgG2OQ8yATEzUx3rbUqoQGfDCvBCSJg6PuMEPhr7Js2rd2ViD/Uzi
6rjGBgbAjeAzXdrnrd2L/NtYTR5jVemDiygoe6IEQJ3naA2SUfYryegt/EdNM54o54+VlsY3UjOq
NLO0xVon7dJe2lmUPJETsVzOxRyiqwhUxQ+RxiH1Kcos9lR9gXVat23o1WKITFqBlCfo5Dorax+R
3yVM+6ZsUYGKa71JhORaLaZY2ec59rHrkOAr0u3qIFH9rgwJOdVC2Yutgt7j0Jke5rRkI6Wk044i
oREYkOKPU72Qc2OCZR+w3CJrmc3F19qeseSsOqSIZr1m1ueVFUiLX+iV1MJ8W8zzfiYWyKvU0ryO
AUsJ/16VgNSY241SRWl3zSG6cXxTZE9NYOHUTW3xv+cQb9EyivTgqg5RaDFiLq1dDetC9t+q1f8e
UZkT2idlO7nh7fNPanZe9f0hBfNNWJusaMyW0NuKmvnPml3leTNkMU8nO0bkOf5Zszu/iYeXJ5Sn
25apz/96SO3fhBWeZg9RbzzZPL//AvKjipXg3cGcp9QiYe6NPsRHsPG//ti6IPspTEHd6xfpUlnz
bjFL7AhDpHXBhQqIPs/Bdkvq1g4EcbWPrmc91Ok76RWVXY/WLDBjd8zq1Ef7onutkctbeUS4Y08a
nO2hfObRRqtnxM+ovjh1a1HrNS1MSUwp7MkJQbnOHUeFzgf/ADLCbgkLmxfovw58cHz1AcyedHBH
KUe913SZF5ndoS8qB4lafD8o5iWCTY6uebOC/FUMZAvUIAIGOaelnZSXC14zwph31CjAKrLSZHqD
ls6pSfGOm+XZSZpLEwHPtodJjMlMPalyl533+lKu7dQosBBkpUcW0zctCJ/heHWrXLL8bn6lrja8
2SCYWSKBO8uL80nV76sixI5Iwb/lqJ+vOPxUkNpQ32olZ6HFdpqVMkwHxLSJrzbLK6r9NcIYIdzd
KLgD2qrctOgZm6b04DRj+0ENuWoG7bVj8pSOeOocWahVzwogtosBIqgPA3IfBUQJ0K0tiLdZVm0R
N/lTmdxk6Gm7rrisGvkQgcoN8ljwRfPLgZ+0FzRdeYqbYtNJir22zWqvkLuLjgNrqhWcyWKUO8QM
KyFVI0HV1OZSmSB5PyVNFqp+q5VhcQmVba42uYDWIciUH1jOUQSbQ/qCCBvsc0M4h9q/OG20tlRC
lUebf4778ZWqlX5pOzluPkzbbo6OegEKkcMduMgu+kbwTwPfYH4EkXXTLdMleuonrcENVC6P8ZA4
K9NoNd8K9a+xOqHyC+enLKqJSOgqa0UYC46/ZnANGZ+j0VwGaDssWHhnvVXfzDFfi/BRTMuhfRFM
LXjNaME3SFZQ1IFGTk3H78xZ3i4WWUal7gs2xNBliPAqUs2ZSx1T6EYE9MX7Jlg2zHERIudoRqQy
egnTGsleP8P7G3FSJ+xDqtQ+kgC4LXlsVoWNU8WekWVb7YKdFMaDYqa7adQDTLXSaQ6kh6aT92al
KRCUk1uoQKFvK4TrtWxjPM1AJSBTWCkOpq7cFxRobpQjChFT78hMv7VRd1Hl+vPQgu7OMJKmc3LE
XnuoNMJMOXEdijEjCU7ThlWCC7OJyCJPumHc1CTyuF1EfYkE57lI7cfFKv08M3ZyS38s1arrRTI5
gUb2JNzat5YUXU94w2VnfKCBHO+qyNktU30IQrs6BGX7YEIJZ6h/LZnmLtLsCwlVZ0SEeaUvxzxv
tmnJvbmYM2oJeEreoIZXwwBlm7STkLCQJokcP50cuIDDZD61Q7uL1KS/CmzIunGRrSHZH0zhY/pv
a3szY4ou8T9vbefl1/Ll7zubeNH3nQ0TiSjuHBtBBm0pMbj9c2cj+tjAvSFcFuZbIfl9Z9MVXmTh
OjHY9FB6MuT4o/rkXzBoEnrBbEPmJqRZ+S82NtEL+3Ffw7xCVLKjKNhCNfXjvlaXtd4RVhSdaky7
9rZOR+JUDOtCwUiPwjyURJGVVuXI+tJXi+wQ8GXpAa4LyABr0HdKdz0i03a+QVraknKvBc84zRJU
JGORSQeq55b8RbjnFJYL7LkT2MiYpPpaj6oBM6c64edcjIWU96x1Ap4sErAE4302CV/qYcqRHtDM
vUVnq4nraGshY8MWnhiCHEtK4bYGcJKsCkFFMusxay5CopNqDm7zaPmhTXySm9om4VhdL70a8N1/
Hwb9V9XR5/zk1vdes/85ls1P81t44ffbX4VDDrNRNpU/Er7f3f46USyo5Cn3/uAf/Xn7q7/JskzR
RxCv7gin1Pv7X+PoZSG4NTXjzcL8L+5/nqMfbn84kHSDoTfaJHvrusCgvJ9IIZxL2mwp1FMBrl9O
4zMrTFfa8Cut9u/P0V+nPL4JRzw6yA6dZ7TCf1NRS2z3ABfT8cSZMt11oWzrviEIgzGOj1INCZEa
LZj8XXnB+OesTqtbS0W0W0F9WI05bae0UVIsSMQ0ka4trzR8T65kVILd1DyMbYW32Y6ob0TsStRm
1xVvuFKr7FTKMbuBVRD/VquIDyXBRCcxhEgP+1DjnHYInFnB61s8ztBbTYNOBk59reoGIV7Qk7wW
UHtloe6yrXNHJyqOr/kQ6Vm5ott6TbfnSsqBJ0rGEc8QQUpjjDvVdnaNMxzHICcX1lFu2eEyVw4H
YgzF/tkP3aUhLetR7+8du3lVQ+spzOfHRvQ8ISlSnM3oIJvgYFp5vEYJtDWdAB8ouuWV1jS3pRlu
Y1sPV1kUHZgDfynGKF0PuVzhxYa2lJVT5UkQr92MrtNa6ZYnJc8BBOvwD23WLpTCdKE0rxY+JUu5
bVqyDPFNoImbr6y63xiOuqXNKRFQ0+Z8UC0GMVEQYaMaJNmRXZx3GDEs58npaDeSudXX0PPaXk9J
npM9JFJIWNtkQ6Pxmz3T+JVN41waeqqDgnycmhpbIY9WhWQ5zRT1Y6TE61TJTjXH8rWmjZsl18/D
EOR0p+gbZ+DaRiOxsZJJGGSFZawgggbiwhXk5NnTlvYuNiF+hK2DYLrLrtux32GrG7xGk1+YwqOC
H+e7LI6NzaQtFyr2bXJWYNY1S/NVydSv6phRO0/KFmz8DqaPQiE9bggSusxBzU9WaZ5ZGuxKMyte
lqR6iCx0zLlZ3lDCJp5eW+l27LWNZWGd0QIBcHYan1sMjIg+0r6ALf9cJDQC1ostQcQ2TJxKijyl
eP1mtQnbrT7WhSdb41qxRxEK0kz7LDNgWMykMgY0+XTt6yg7u9gAkrrQ83XxBQ93qaGJ6BLw82jl
Y1GZTkrspYm602haKqQAdaKjbdfPHMSulFR6BZyQujXFFWxFEVYz3CBm7GCWjF45psqO/EFid8bh
zG4410hYagi2IyekHWKCWMLx0Uys1p/C6jyM5WDVVhOHP5qKentWJaDBunY7jp2wsNCPZH8aEvmU
NOV5avLIakV6ohw8ZJK0WzLGyVEYRVibZvKghvirORJZmIyJ5k69chV15mYqu9eUIxr5uES3mNUD
mYSAhXaR3hzSTtqil32eEvlpMUgaJ/i7defsKcOBPbaE6PT7qhQ5khwRimalYh9Hva93dEA1f9T0
7QA9sVEijhpI1fEYJd1aVohxCgcdLxB8gakcvUBqQOOP1aZXiou5HB+bkuyDeNbvSGawzysp0eub
MiGwwNabYFtidc9+LzL/UVv4UZPFKipMVZxhmNxRTImm3Pvlum1JOQ1mcz5BhrVcfRPsp+vyHO62
Kz0X99Bhd4B83ODAMaL3ks2vpH5CEvPjIs7bk2mrUaupBsDfH9++CYhUkMx+OQ3WcxXsHBRSzvQk
YUN8t5Gefv+L78O2f/Y+KthiHAKAMuhr/Pg+TseeFU/DclLis2hq3Sx7dcKdkO9//j4/7n5iU3q7
nuyBqHzxOX+QsdSMU4xeiWTU24fGvKg0Guz6/efv8YY//njR3n+ZD2/SR7LcqhDpTsO6vYNW5A9b
+avt2eCgznPuMfeq8UHqrdXt7RHXvnsczuP1XesH/mWyH91t4zVnncf/0SvX/Me/+/zzqeJifvx8
Ol40S8MHyGz4w+fL+gXeyCwrJ9LSjsGl7Mvnyn24V5nSrOCku/tHZTOtjvV63GKVyA90KC6h9q+h
CK7ePsp/haTBDf7PZ6jH/stPmoPiNX/WkGDn2MEp0oTljVPKuxpS+Y3GvYwJjjn771P77wN9h3+B
fkPj7q23/76DT3NQUG4w9bOc2KLb+C9qSLDiP9xCb81BTGamrlOWMhIQxLz3y1LW0X+Yykm+6JLy
IXAKY2OmGmcfLLkkaCrVpYGRSyQqOMcpxU5clrgpulbfN4L2NBYTOfG6Ay2tAVkJogLP62huBpBe
mT1V580irapB1vElv7CVyURXjKB4IUEv5rhzAptxb8XAMA43fRvAh3HI9rVG/XYsmq0eR8VNHYZA
oqvqxWRIXPbVbaPo1UrHbuGaYf2SzSLZttULtx7H7UQg6yqEBFxcypq9URJdP0maeQjMkT7PyGaX
jxJKa0V4yrKaBkz3bPXhS5ATcArkRvbDuap3duHkbl1KVwzis5MDLsDNzchx8XVhEp8tywtgdq9C
4HWETc2naCLHq3G0r21sXgIUPdodZSKN+4dY1W660qGaS9RXytrJh+Z52wyFH4Ph6E0J7vWibIlD
+AoYBdJpFDE1mC4LORGGxce8CA/J4twoSWW5xgJCq1Hlm8pKVCBc+r6Lqm6VkRBHx9N4nvsWLIHV
PtgjbOgW34tbG6Y36vLJznQFV318GTuD4ko5Pr79PFM7w+j9Jotmm1kcAdwcBjLxdlrSXvUmldhk
ULctTd6uLBOkpwm4DwywZy1U1bUkcVQtHBXPtNNlLcGvZZOT7UYQoSMiCbOCcfpgJjulqB3UchTK
9UCg6UIan9SnsrvExosjYg7rWf2WlcZMDu5bCGKiOsdMBCMWBU6/IGXwi1ciXRdZUe1J8L2IRKSi
TLbiKEIWieCUMUmWgAp0zW2Vct836rHC7LzqtYUYnlinVBPBjYqBv0hEOQ5K/2SS7UjuX79qepx+
akQqs6DjtSEXN6PUc8n6ubNiUpeC8guYVaoHTd/rhXSpiDzJCBcu+ZJ9PdlMYSHFyV2j7UxSKCsz
30+dgU1Ku5iV9ELXwMI5mWO6MgmWMkmWRo4MphPhlpFk3TZdiJWa3MugUrFh2hjT61rMb2X5Kicl
k0PJpk6Tq5j0TLPPHqESfDFErKaSQiqfSdq0m7T3GnPEkEcKpwGmlrmytB8yDdGXiOrsRWgnWUJn
cq28QJwjzpNcz0pTkegqaNbbRSPncMHJjGs4DRaZsCMZFcn4JeJa+6Y4mRVmXHPeqx60ojp3QFOZ
drlOIq3FMBu8dPK4thoovFI21ivq7XKVJj025LQGjY3HvZiNr91IrlINdC63k7M6aFSyM/N0BZkC
U2f7ZCf1AcrVrZIudwqWeD4fNCUI1M7ogOAvUMCovRcuw4hfM8X7g/CgX+Sr1tGe5s6paJ+InvYk
TXsmc9IOOmvDvCA+G9L6GivOa1SlV7ZZEJKMzAC8rSYyvS3+ytJExjYneBoSBuWXJmW7PFcvE1kt
XFpaJk7QdnGl0kpXKLTRUtqk8HHuuyAIheSascyI2MuweIaEMKoycV+G/GIvyh/K5//2WVEo/vM+
62f/45UN/Ne/9yvFC79vtvQrRUOQRA2dE6pq0xJ5169UKJVoSKom+FUBef1rs6VXQ6Ycyi/RrhHz
u+/jchsanUqXEbCcUOP9O/UcGNqPm63N3+EEQNoGNSt/98fNtg6DyZCUAf6rXt6NAgA5wJ+RaDG5
VtI2J2kRmEgOpQ+GzsLuGFkNL0Wy8CESeNtKQ7HHaNYDiuEsJMOfRCZjQbKx8feDf1kvOtmyebzQ
Bm3IwO30vvTrwBlWTMFHpDLLdS9QlzgNImYO1q0DBZPTGxliC5wEC0ImhXe4bWBmdvF0HxCJDRy+
um7KCPIoMURbRQ5fiDa6mTT5QHDqsZQjHkEB5ZSbRFnPBiEiECDOMpasWSA8S1ieKKweg07dd2bV
HiJKA3kIs3VYm/jFR1N2zcn4YjaptAWqgUZoMuY1GRyvZmm+omZIPPJUyS2ALupM2kOhlsW+6rPS
BTLwrA7RZSSQpHzMF6fIL1JM5thCrJUUmWV5NzGT8SnxNymL+MaAFE085josiZEMUAMtRv5qZoo/
Cap0mVUbHc601YxXI77KLckCNkMrI/TTcVm8JJZMv5emCwuevxvDro5hWA8CZq2ryhuSp8SgDOoa
StYG1MtOM7unXMCwaw0sdg8fexGgbFue7+wMn+tpasfwrOqmhfBPjp7OWSRV35Y+ElXGkPht0uuM
PAFN60s2bfIYDWMdJw78rjm61FL1liBMcKEzs02VTK0lTLXHRbZc3O6O09/0ZhYeGQxW+0XO0QtE
UrqtjJIEe/lKQbvFYd5Ga4CIz03l+E6I+zBy4wjRJARFWoh7tjJh2BllxzFVKk9hEpBqRHQegpAb
SwLUOyZAdnsakJm51/uCSzznXpBM95URf7W0/CyQ8PIWSo1UHse7a0n9s563SLh07VFSsyfaWKBL
QmszOzoWqijZqjLSQKtsvalfgMVolHaLvZ6L1Juw7RdZemYGFhl1dPvteb7Ol+KbnJU2OSy26WLj
Jh41ZUMdpOQFO/aDQarGHE1XWdSdzYN0g2L0qeNYSjMOo2IvHUDOHGUtuJ2K5DCPOb9WoN6FOYPF
qAlugsk6dAlXqFJDfa1V9IdS2zkWqv4YWOMtUl0gbCGowAlkmmvF8hcSNq7GBodX1azVQCCSreFi
VPQrbea75BRhTavsTBtXiW3vQ9CIvYlhWTK+hHN3J9qCYWEQ/WyImMWt1uRwO9h503Z+MHrb3iSh
lLtpzKiYZY45Ry3BL5xL+CsTmQqIcB6aNt9rDt5wTd1F8nLXF2QpD7A9VrU27qrGiFfcsKRKS9kV
0ctfKi0npzXFz7+Y9kbtUMkQpmr7Qccur0bUD6XDIFpHXJpUebJDnbKaWvC1KtnSYsVllVJK8uGG
UwnNwFXrTl73w3wZyoB7FSazMpeANelSm83zpHdeOIqIqah5q5r6uabXyUrrZyJ65yrySrHENdEC
o16+Vp1inVkR8s6qhRVFzrejGNk2RxOpZB0a17wzV0h57vslvFZk/YuVMxwPVfs8HaJgE4aShF4o
u1IsrSHjGs7grFpf1BikAxhLSgCz8mcNZkEeq7oYQ69T4mjhOQbXSb3gom+UmyIe4DqhRXipIulo
lsOAl541Io7vx2i4IKxwmxv2t4VWk98h+yXnWSZ3u66UVdwaEjKGdsnvcwLNw/MFEyshdUPp64px
MOzmxhE82kaQaZelfCqX2EFuO2huB742GABcWkP7xewk8r365gQs7BiBvNVA304gcBXBwtWKZo+Q
yU8ZH/l9Z1yCvj3vHal1TUHSTUDq2qB1Zakh2F3Qdo0RkTKSzxsNEG8cyPsMMG8iCL0prBA+zfLg
CHhvPd/lxngJY+rE/cBFAPObg/tdDISGnUgMH2Roo4IJLKAxBZBgxWz3MtBgXZ5uCxRbATBhE6hw
5XBGs/kvk+ANg16k/SkYxI4ZqyQy48ouZLUjpYQDS1xtC9DFjWAYW8CMw8QkkEDwjQ1BOgZ3jC+h
SnaLoCBL6bgr3rjIgpBMqry6A7wYe47gJ5eCpJzKDQoWQVcOCYYkzD75vRn1X1WmfFqVnZXt//y/
InzNXtu/12XipX/WZcgY6WaQFsHAWJOFr+17XabQz0DnDLMXxRMVG+Kk73WZ/ptNr9Jk9sZZnYna
OxkjsiqaD6ZsGCqwQsH5/xdNkI9VGdWgjEhKxpIN8sSSxb+/s3YltoWWp3CSY5/7i2GxA270+v5d
ufqTtujHKRpoGN6F5iuNOny5NuO/H9+lJg4bsaKRHLsyiTOvtOWCBKhmtleBpqZ+orWom2ZVYYxn
c25lI1xlS3AYoA1fyVV0mcWszEYUn42yjApYkQyWf7KuQBJi3A6xD6n5rh+i83iAvNsrZ/IyXraz
el4v5WFqtAvEmXs5IUQ4J/vDTeTaWVszFgM6wzPSHecrI44RMivAoaTjfJ9l/bcY4aSLIBibMh1k
ytSA1xPQ67jzhMBlP0oL1uJxsrxOIuA9cQAssGuX7FZdIa8aVb8L6H9trMzQnlQOva6kyZBE5DQC
89PXVebDwkphhyizN4t0FdiAVUDLQCs6C3YDbKW5naeN1UONnQjTAN2tVZp9t6g1sfXAzTaNtJjG
RilHpNmUwcAwcZMYeTcTmEC5fcHkUDrn7xOTGbO+YRI7lFKxsUs99mhE0bwQitXGsqH7Znq676fa
tE+8X6s9GXNotQd1LofSC2ftqmRoP50iujHsJbNzcBrT2g8EojwyRNbvB4sYBDubl2u9K3p9Z5eU
o5DYRL6wHQ0oguSxdW5LAr9cE/mnL4HF8dRqilARgSCh1zXvBtUYwPz0CNC45mdFsLTPLeDeaSa0
a57oqTh1vJOYUfhIhpnrUWleLUO/T2QY6U6pOFchdTh4wSgmVsyJ1mWVy6sp1b2hxAtXx/fE2w5n
/HSDZ9bx4jddoXotJR1y2CnemxSgPkjcZQNWRVkVTqAfW7hYzLnqdmNqw3bUiZGNJrW9BMKk+LaU
n6PPQd3eYnfHTaOXxs6OejzwZrYtSYDxQk0+tc54DdJtuA2Hyf5WAoxrmTaZ42R+K+PeM4ilTYNa
uZGlfh2aHaVfmfqOlBOEC4cLw4gLm+lr23avOMxf52S+q8HuNNqwd+BjsoCQMLFs9Ek+n+3B05xu
iwL6jJO9FzbDF9noz+tcWmdA5LUG8Fc/vxRkD4fl/7J3Hs2RI2e3/i93DwW8WdxNFcqy6D03CFog
4X0i8evvg56vNd2tUSt0v+1EKEZScMgiy2S+5pznvEf6YITSza3dtODvM2d8dlzxls+ujRw+647o
pWKW3PPJLNjKxea5Ww8hM7bnmpev64lGw8+xIahjS+GxH/T5eYq6TVzQGTR6s0JVSBXUlfohdYw0
NCABM/q94m+8gVsHUkrMcQifo1vboy7OE5v4VwiY131edoxL4NyYE2/m3tjlzYTkMfJ4lxXqLOBD
pAMPMoFzTb5/8glXtKfqEaneOnO828GMr8umPnn8/xFsaTGM10kgjjlhhJhQxCaOoQ8rLBKgbRCV
tcxssCpcZFr2UmXGC2KYo+iI2smBeQ7GNXaiMDfLsIKm5tjpuskbdTZ73h4CAmCVRL03QKAGXFlB
S/IXobFEksmjX80KShf5CL1ffRQq8hCVMctRMZWaM1nZrgnqHeQv7WZWWrP9/ckLdYWT9c8tybeT
F408YiQCIviq/8v5niiDfsPNxUXVZOYG2L/aYFXLQjbq+akvLJJ7xoieEOcTiYufRt10102T6Xf+
zNq/mqaboU1P+hSFWeA96lO/axL3q8zSGH4zbCCaInpYhaFz5j2dL/6hyOlgJZO8ZjejGXp+vx+r
6q315mEt0u7B9BIkpUZPDasTh5yT2dusu+lg1Bn0C4hCRtruTKrpHCMdoQUfKi9uBy89DlF2Nnf5
sRnMk1dXpJGbwa4nUynslNibU+KsWfKu3Ugj8dVOdzHPTtjp3Y2tBmNdJ+5RTwI+10jZT1EPdjxt
p3vAmMSeuAxzTWVe2oIleeO6pNuJ7Hys54ukSw+ZdHaOBJ0mmG9G3zjjPkUVGdRbWsWNE9enPC5A
rpWQ4XN5RpbUnnuNhqiuGAIoFgdpe0n28g3yMMgdUKtDt9QAQtbMytr2SljEKBcz4r+2Te9tZSPZ
nMQrs54zAZ4eU1uNZHLeZlnzkTU6snjoabbxTFB2WFi0AIG9R0B8bnXI3oJlzkkfAmf2I4KWRu/W
rFym46ssL9iP18tZ1p+E5z6Zes5OmbA6X8ueVWEaSFVVtrGT+NKaHSMsF0cd6Hp/bxbp8FAhbTgT
omnP80oWh9+/VRdv8C9vVJdNpk+yAGQYFHQ/lwjpjI+vReB7EYEutdJjy3T294+wLJn/fAR+JHI8
g20Tqx56S3+xmvxY6ljuXDoYeOKL3MVc5l6KQexFfUOqAe8EJqdusw3Sze8fk8Xvf3jU5e/+ocAa
6qyvbUvTznUFv8U0QerxP7gVn2Kb2iMJSpBMvgME1zqMQ5khzelxSJUQBHVTVOuynZ8qzTuJ3tbX
XZFs80Aab35ie2Ghp/cumZMh8KEzL7efXeJHj0bOiol3U1lthtkrN36tgXmuRxQvpVKHYfKst6pE
KmDPsISFEO8579VNo5Ouwgmswp5ckjW5rrfQWucd5+H9EI/mgWy2q0T1Hym0aC6lu65tt24nkXg4
6d7SE22T6lQouSzLHWGM+ropXNCj0kEZKKabZcVQCtLLGyt2V06gznjTAyqVBAPVAn0IYghp301z
+mjr2dHpK5IFMoo1EWHRS3u0UC4KnGxOCV1vwlJFZkiOJIyqKOOU1R9HwtnopQoYztOubGEYRjPv
YPJH+xh+JMGdVcrYu55TP2zz6LxGAxSTKWtUBOz58XSLKYYCrtbuhh5kvWXhQ5y9fqfVDJ5YoLyy
cSN4orhu8Oq0yCjZWhyJyyF6wLH2XgmHtzaM+1Il+ymaAPi3w0XtckemtXNoW/vTb3TU6UzVGsfe
xbV98uR/crx/E1L87j1OR/Hju03alBgmcs3z9FRexRfallDbB/RIB1RYJ5+rZ/1uypVzNM7LF/kf
MBHfCIn/+uAsdA2XREOsUT8/OGYdHym1rZ2TkboqT+a63qIRNc60R2/Lev7+UlufHscN6pPxlX/k
F8QSro5iG11YLOb/w2/z88X3x6fdQiiBaduljfpV86F0WdiGkSYXyCRqKBxCf2zH/e8/3T+fWf/6
GL+oENkNklCQ5AmX62fcoui6/v3P/8u/gXw2z2PXvSzQf35Ci8mdNaZfXN7aVcOArXWoOf84of5u
33UWDP9+qbJtP7vyrzYqfNc/O3eCPmmzfeQLv3buoApQIqD/1l3a52/t+ffO3SPZHK4ZUspF5fpt
2fJ9o+L8Az0thBu0438IGP6bzt3zlpf/z8/b4kAkvSQg1A/7IQIY65fPW1bkRjD1kXeBt+MY981Y
nvfSVAAei7GuK47bYd75sgMCnhTx9FCRTqHCKiBtmKlu8jxZ3W2RNCpMOu4d2Q+7RsYhcjUEfDpd
UWXk7qoK0jdrIctapSM2SgNdWc7OhRGg8mYl/kwlcFMW2aMcKiO77r06uc0yQYbOhI8vQmlA3xvr
QrvIotKXq2ZsNm2hxc+q7pOrKEqEe5XkyrtySh9Noo3/h/YQekEVOlGhl3eup1nbiDGj3HS03f1l
o3WJeBiYo49kyMnHzAwSNrpZtRdJmiom6O25TO2jHJwbJ7ZVGHnlgz7nd4Mt2PMm9bu54BDcZHgr
+llwlENeNay3pITX22r2hTuYEA6mhyERztpin6ONWqgVTPDihQJg15CjfSXxJpfsTA07ecR07iOn
zPBlO7eZLy9TzvxQaeKDCc5dMdifuk3H0RU8KY7fX3ug16nwCCGQ/PyVCVj+RZGjDPJa7PUZKWOz
KFKL3L/DzmhuqxJ1RGktcO/U3CdkoJbj2IaFFAcrIeTAKRJvVVJhkxOXlRvonzlzP3W0avM6Mgm4
nq0ERoJt7qsMPabp024HajIPagSlTh/+oVdB6A9dsdYiB6Kp1+2KMniFZHrmBt5ZZ+HqEr6Gcn8O
biGtj+sg6bZTpH04wbzN9elA0OpF3Lo1jNA2rNvZ3YMMA9sX1V99hYDRFZIEF614l0nA3ajKJ97S
Pd3b6O3dZXPH2+sai3+PWKa66J1UY+0TXeUBauOYVLg4MW6iWkPaxUCc2UbrrFNnRJrBzDxxqqch
pd6u4v7Y8wr23bB1iGPfTQ5gDVdvqs1cguAd1eXUOI9G118EvbhL+ypbC717KOLkJrGZGNT6AObf
1Q7MXK3VmLQ3yovudAntuQEKC6q3DpVBPxwICiWjja6GaAa7GmkHa9Le20ZLQt2us51yaItmI8jX
ciCDO3a6HcM30K+2mo9VzepcVcBWfUeu66G01nRjSy6WPAGp+MhzcRSDz1ymE+fEy5B7TSegqsHY
6UEOPTpuMGDYRWgb6Wur13Krgv4yaO2nUUv0NR/1cZWqggz7gQBtRZ+PEeRmmMndIVJi5plZed5E
f1bSnvTZeG/KudxrNu9OmnW56nLxmStzZrbtPTnSuTWR+h7GKkOc3ZoHBopA1Gm5k1EDo0DA3Fov
bHsrm/RSxC4xw9lNkY8XccJ7WyYeGZ1pRgZScGXGJQTjnHWgrAnbRiSsVk3p3kmDCHG91b8i037R
rfydYeKhkRZj+rhnHaiZn3anPXSUnuuiKB4K2ZsbMxhulWIuINziuVL2maNVyqGXUXAsj549uddW
6hPeLTod7n3SvFmS9t10GH8sEZiD05y72tRv5ozl6Di/tZb53NCc7AMd51odeFfzMJah3yfQKlqX
9Rp+OwZm6p0UPbzLXn+blPC7/VrP90qv1GrwspSz1nqBt3/bF71PSoYPPGOIZNgyVKMURJZTCh0g
INF7iJ8/xxlDeOmwGErNMRyjyttnWRmsR81GWgHLflXoLFylLd9RoIPX6kgl1iPpXIjJAajUNcCo
NTNBHNLcyJL9g/LBphjzuMkEMVJE05MbaalQOClTxjSpzwtPHlQRvYDNxbCq2cXG9BiqTBbv1rpN
312MPCvmkPPGKRkN2JaCF902h6q2txkdIYRlN9/6PntbzsN5V6bNS+s727LVdrGMdhUbt+tEEy4I
YsGwtJPonsgp2E5aiWmSDNhrtzTrrdcYhya2TqknAMMUqb9jzU22qefr62hU6pgMw9LupluEXtbR
rC0YLjUEjmyKy31SlvP9LAteG6m0rQMCZ6Wxm1vF9Korpx8PVsF80zB8XIrOeBbnwTEK5jNNzAUg
Z9aTUQa2pYCnmXi3vua5p7ljUZsMAGdY310R8HFXmujzl2SaLbGhYjUkWgs9uX+HUz6iirP93eTj
81AGpGiERRS7eXLVC2wpqIjCrBLjrq7nM9zGJ8JQQxyTV8wJs42VNqgBkRishNdekL/27sMIyrsI
PYEXsGV2NYckWYfkSV9tIjdGnT032DB0+WAM2WuVaVd5K24zkk9pE3V3k7YGAjK7/swxc8aFbm97
HFxhK2x+pGBuJXNSYQTL03Ggxw4G+DWGPoayaSNGNtlZCe55n05p/NAkOQGm0bPLLnRl8tH1coh8
Rf/sWNrKSfqL+ptpoC/eIzYUGyNAwR8U+cNQ+VhiaPFWpqZdzzrSRi0X50btRASeZmd5SyVic6c6
2sgBZhifE9Yzb4hOfqSKHa3nEQ9uEDaZtkqd8rFQ7cVUokFyVVGs2tRe84Iem844c/LiQ6v9Lzmx
/XURQJSNto+69BOPzLYbqn7XefWmq/mqrLQHPdVPc3xW0N61gwfOJXsNhvQt6Th8R02n+/cOgwBM
4/R+vO7c9jh3ksVrxstTsGhPUW5MM+9nWMxstU370yJgnb7XuxVpzL/MAT4SECfa3FjZZF8DSiIb
jsrthQrsIKZq21DpYO1wj7NTkeBB5KDbQBsL5KNh8cPrqVrJKD3LEJ3srKJ/twE/xR7Sxhq0iu4V
4GXKB8PiwgtgMDiEorAxsFClivtWSrbJHdncWt1c1SI4KRbvIaiFmwFuBOIax8A8U+yGCtjDaIJW
MGQBvJ7YmY4E9a2I+OiUMz4YqFS3xdjwp/mg2RPqTgb6YoM5cKke2oNnJUep0q/EcMQ2lj4Cv3RX
zbsOGarp71pVhsZ0Yph0l+QjzijbLtaMpndpOhI57FHIWPObhdrUlfGb74qTbQ6YiSM94cVqXknF
HVeTKVOHi3hsz/j43MUKVQzr1wej9tiBLLrEduMTk5fvzSo/jH0WRr5VX5duW5BNWwoXHo7tGBq5
Q1XF5J+QofaINUYWyFYk7P1tlY+aula8OqXuCC20I0wW8exJNgZBdqwIBl5NmcanTWt3cwDIs620
realMAEyTW6FXYU2yRFhNKIa9g1gFv7YsL6PjQ0Lq3urLW+l7WJ1t+yvJm0fSYYh7IDCS4sEeF8n
OCSe/VqX09UkAqzMHgb4RPTFmrqrW4Pab1aOXJSq6Bq4ThR1oc7F1nGl8fotrx21OaJGRnzJqUES
TKCQHU69dzH24pLYqJNBxhlZBemrEaiwC+yTMSuqm6p+425RUADydVb6950QyGgH/XOOCGaZUx3A
1ujv7XG4AkGWUORh+qaVWFHXyNCNyo9WFiiYEw3QUzVvG3IZ7Sa/MeGGs7Ia105RoXAuolNAgJin
HC47p+v2A0MS7jcekHTndWbnHbMT3E3d7K7mOt3VJtUuosaXrBFrO7nMCFpKGY7JyToQ00g2rk+y
RlcuEQj9ZeGkH7VCGxsbMNcU3XGsXzBQ2hIHeGGbly5KGw01Z9tq8XHUq8dMxoc+Ec+919/XAXOl
BZbut7vJ9RYS+pq690I15ouojT2AUE7GIj7MypsP6ZC/8AveJ8tm3qMW3CR9Lc44FV5spJCPxcxa
qmrSsynJGEOPabVWxXwuRwXzyjWe6lHH3pNd46l9zWofjltHnJIKnnOnOgkreSwkEqZvfezfDb1O
f/vvG/pd/ln+BVBo+abv/bxp/MNn9kv8fACO5Ftn/n0Tb5r/WKbO/MdgrY6E8s9NPLJKXYc28F0i
yZe+9/PBPywM4nzNDAzdwNv03/Tz+A5+7eeRCSC15Gf6Psk3/LifhncAbzxzGvzg0ixa9smOMde7
9ht/wtIYxYPmL7roBclRe219o1UUC7hihmDhpsGpLYOM6yJ7y9AJKYqF0QTwr2wbYQgDMAJuW2s+
lBMZV8MYXNOmfuWwMtbwIrgOzZ3mmTgQBb1Ks9NjEKUl90ut7TWRvzntRIhoWp3iVF5n5mIT7Vs2
i+4ep8Zep91dWcRuiYAoApFCHTeCC5MKSJg6V3Di5NuB7bYyxnZVasZbWhirqRkZi/reU217B4b/
75yH59BDcoJ3IHE8B2Db+ojdO5q9T5QCYYZ4kSV7rzgNq+aSIecW5xzi/9HYN311Nma0pbLXwUBY
WgtuxSsPaCv4a0syaLpqfmRicI4suaAfAc3bZvgWTEYCiY0A2xribZvhXzfa2Nuk0nj1Myx6HSbM
xkbkb1TDczFFL0OaUvVXl5NCmKgVkbMtOrNGvlMepCD7PBAsWgxMiKEu7XFVFX61IxfOCul9CxY1
AS5DdV042aGDh7iC8fChitFf6XguuWcitJEY96xYvcKfIejdML56Uzsa43AgNPKElR5PQEBhNkJS
Y8oyyFPVsldVNt355PYnogA/C62UT7yeZ73zMhfuOXypNVy3q7xJ8TpEt5KAdHiNbPlDvHoNMSYm
2+BNSY5WvKpz0uCgr6HQb8BYE/GTdwx1186Y7AR5v+jXYywNJkiMo5dV4w7fQHXgean1ja2LepdE
fnAbZUgm1rkyiEFsKsYBo6PsXd06dh4S8BvvyJEliNgrW5Z5qC0e/cr193hK9Ke/j0MabAfow++O
w9vX9/a1+Cz7v5hxLt/5w5mIzYrZg2d6TBARef9TnbQcl8jCGVb+8RW+6/uM0/8HiiVSREyL/6LO
ZWj6/Uz0YbguvCV2zSAeOFH/mzORSNZfz0Rm397y2zm6bZtM838+E610LLu5muTllNMW2oMgE24k
863GsFp4U7/ttIwCgUHP+CzT4qyGtYPrAx0fFE2xjqCEhQwejZs4djdkIxdcv2QDuUwkz/R+fnUi
c0Zw0n9Kt+k2XkqiTJ1Ht9aguefsaRMKIqvZ1szqLhjQb9I4eegZRUoqza0I/GOBtNtuja9sUg8y
KZg7ZJdN3oZYRPcBA8lVkALNEAXrpzQ34tWsEExMut2t44BELm6Bz9TD8eVqL9mofcoxaUhVxwc2
ScUEtSo+CFGNOfI0nNDjwMwJBpHMZLkaA3D/iU34A3pSIvpGsIwDS+pBVQ9JUV2bLoaZijLJU/aw
bgbSIQG5DTG+5wPMnRuKt3Oukc+Z7C5VXrlGLWkAMhL/3O08pY8FfUCEtyUpnbsRNs9KT79UDBhL
5Oa13yq18rGfbMa4u6+03lypoV8Cm5J8O/U5DqkAdX/r0lAwwgl7bG37zteRuuJt2ugl+e1zBRu3
EOjkuygNNloPEMvuiSrHi70qNKDZg5bekJJmhpOJ5D1VNjmTAgu9U2nWedtkgpghUqgy2vnjrLU3
VTcRvqZV+o4I8QNGZIFCphdbUp2c/RBhA3oovwlRzUWTmnaLPDX/JlXNoUxOlgtXaxJyw574q0PY
OiFwTfqFW1B0vXfeR30XvLTOLD6KvIL6EBh5sCeRhfjDzjUuPR3KbbckxcdLZny9pMcXsynufQLl
W0wFlM7ExS5Z886SOi+X/HmtJoneJJI+KNHMFw5nZDTscmYOew7/e20gx35gBEQK01ziLSTlHvtO
s/I6s7zslnZZ57lkl3o+JapidymAF9hetWYIPF2VChGzP8iaxPvxrWNScOZl5ohoOPkE2kVygK10
sKrGheZXUb/SWdgVGg2jF/TDvkUhtjdbN79t3Ca/HCuvvMtM1bPoFMl6tOu7yu+Bb7mYCQawoLFw
9pNbMuhF+M6gZKiIuFeXsg+itWYRG1xkVbBxhCnPergjWyWQ0fWKGjmq100iH3yFvdEqdcUot07D
2KZZMSdbO2haIF+yVEoa1SYKhd+X4Kiq7D2zHJjKg2xW8I+PmUym/Tij3iY+dgm+nGuGKdjFrqVl
RCfCff1zf1QXnesBw8g13OgVI132JRDLdX8Ke9rFc82fifs18JHhWZz/3rf9kd5toHz49+U5eLm3
Kv/ouXnKXvTq8PF//8+f3/fP24igbTZqqGFxMqEW5cr5Z4Vuwwx0DGe5+bheFn3I/9xGkJVslmAo
nHD4eqhoWaP+z21kQxTXDdP2/tzT/S+0sjb3nQ8TyrAD8DewC3++i/pBSawZjrwiCjbm/a04cHY/
PClXfyzvfiQI/EGu+XOpx1+BT4tNQOBCZXZx+P+iUjGQqadp1tVXloTv0nFDdBAdEssskV/obUM9
WrlTdj1XwvUvkiTxnqhYzeza1x21TvRiMo+mW6Ooqg5NMp1ElONgFETOGgyoZ2utVH4VOVqYV9pB
dcFea6rbXgduoRJjMzfezSS6faQwMyZEwpWiN0LHbo5aLS81P3vLVfaqRVE41PUhzdMnrDqMl0Ry
GfecNGZ+8BIwT8bUfjFr29VkuqJUtb2daLiFNNgSq96R+2Zk5oGo696DXWV1a/68p9jVDzpymJXF
cd5M5SdcKRS6k43Hp/iMSNdG+Ff3uDyJD2u6dgvbDiGXJ0O/XLT90qRZ8PS3JXzZsokPN+zybjTi
Y2Sa9+1EtWmK/jErSDBJlHzvXPuo7LbcNml9XiYTtsrGs0JHRM46qtrbVpQouOyqxxZtnRcxrrO+
s65zCd8PxemTllrbWXrThn6ywAXaf6VewzZAmNXKa6qrsrLPPNnam5pKZJVnTbp3deIzmWXH6ykd
cEHXJtLI0SdVup4fjaJim8cirxq0G0dquGXM/E4WweJFz561prVXpqwPgdGnF3kvDeyz2bHTRL3S
jYZEYz8+xf078SPbYGBWWUhzbU8NE8O8fIxmfL9R47MAiY1j6w9t2I/ejrDqd1LmCMRQLQx7+93v
iiT0U/HlF4xzYtufw6YPuDzcL1vINfngn6JhaWV0RAqaqEsNDMBVXFyNZvdmpCmy5yWDGBTRgRxT
NlRjvxX+4nWjklvbXS83tqYTWVwOV3g07pEPd2st7w+JRVnALvU2nvomrAg1WpcRThw4uJQY3gZb
O/sQP701gfnhbmFEF4yPmc4ESSj3K02DF8dATphImCgWbn3SfJPsvCzydh2nglvF0e9j1dyWtlMf
k4y0+hwre1Ih+zam6WVMMbDWsoEQLnk+PG9+ztwIPg795JiWn7Yh3e3Y6vdZnDM3g109ab7ApdOz
T9G+es1/1ri9kJAna9JS2JJPEb6hjTe7FQxdS2WH+htZRdotSdNL+RqAaGrunFgSIOqSr1ljFL7P
QCYcHOqvK9eSd01j0hPVnzDSDiKrEbxX9YfRN6xJWZrgdmG7k0l4oa1ANmX3Ye5GORPshzLYTDuV
qPRUVMxPNe2mHdJg6XzJew+jAvjmCFJA86YqbIO6Wne543CF5uvYqqHWWOc2rFNmAySGeN265rO5
UM4vusp7SnznU+iwDzjWGra0xrYgqnNMUHT59usiMUcrCUJ+eI4HKjbOnJu2NDaA128qwzpIpK5K
eaGrxQ9mRoC876A00M8CGV8hELxSRXI+d/12ZuFKyfbB8JAYay8Ns67PNkWkrTOA6F7XIuBk69TW
44UHvJFykMhYnIps7eWqChgbp77G7lC7VH37UIgg20Rm99n1ydZspket+3QG3omj620tO/WKdQQt
EutgJBmqpIPStI0+Ku/BQ7G9axrs2mkM/97x676+yCzrqahs2Opzg6C2jPV1nnJurbLKrnEZOLO1
61XVrv2cOYFvFQ8ZscJtL5+kzB+6RnvGk2hd64MzX3HhNds2b14b0zgkrfUxRf5lM6sLXPNxWBZs
VRx2UKFo0PBpaS62xVwEd3i41XlcJLcijt/YfmtrmQ35WcvgkuEH8tqIOmpt98lzafIqyuSOaLQ0
DCztOIzd02BUM2svq9hGCySp5vdbjYK7Zx1knAGDlrthBznwUut97c5NWSEqFUh6CNgXfMq7xyjo
Bgp2r9jzafbDJu9D2x3HPdpeuWNTUlE2V2onS51aMQdoG/dskFkJOXuZB8ae2coVAQ03nZ0sw9Jd
Oi4DEy16FxWahtk17hj9PLXGdBs7rXsI7OGpwmy+IoA1uvj9tbuIS3+5dOFGAX4H6Q2veBka/iib
c/OhxtTSDFeVDwTeuEz9O5ff2mF6RTjm7x/rF1EXFzyTR3pFA2CChxho6Xh/EIR2XTX1puzklR9t
ouyhUaRIP/zvHmL5FX54CHjFeS6HXF7VfDAVFupkfLHr2/+PBwkYfHpUbFAof3mQLsmyKS2lvLLa
u4YAHe1CGw+/f4h/fVl4qn54iF/4LD0bxdiwJ3ll+7dFs50LKMrysvReU/UfHmkZI/z8Bvj5kZbf
5IdnLE9Gp3BJeLhqiG4ySqQT5nEoGORvxuI4k6X0+z9s+cV/fTjwiI6N4ccCgf3LVKOP02lue0My
kXsylqBc9y5OzlTx9O1h/l4FGCgt/32vgVPhsxWv+V/0Gnzf917DoKFYaGRYZr9N/Pkcfu81DPcf
Bp4lj8PgW3AQ3/V98kWDYlmeTvHPN3qBy0nxffJlElcAYRzwJV0Cu///Kl7gL5wblmOjB198c6wE
AG3+/JbEJdGWk9ao88lCcbalHfU94PnASL70GSk7pVav99zuFuqgeV+52TIViqaUE8y1s5vIZGfn
48hljjB6amW55nuss2CsgugVJuVtFmXFlcrgEjaza24th/EUjVR3XrnuV1L73LiFifS57MQWKYa1
8TpCYHpX4k0rDOc0szc7aGXeU+6jWcEzQWj2Ok3j9qLGi8JtEpzQUWVnuFzLsKul2rYO1WzfEIKe
w3tcg5dEGYaK8cIe1TFzxMmv+uisEHm2zbSADR/LDp/aGv4OMEO1nQIPpUvPNdxQ44GA8eqwmbgR
Gx8rkW5rzzmnd+1O5dFLhjvDTXSKHfa17IVrJm5Ku2hT9x3C7YI48oxd5aRfc5q+sPzFYW2PRkFY
Oljw2k7VPZqHCJFSAr7HYsKdpJ99PJvPlL3owVAobkeAN6HX5bgkmGZj2gjK4AyrubFxpa4d7XrS
T44o+50APbmK28E9tZ5HekOc3tIJHWSi7rQalFRll/ZO96trz0W8Ai4Trrduu5SndHFzxh7e1iU7
E1IZTkYyQBJQMFtIFY8R3ulWdtZHyuh3caEpyuS5bd32MuG1G020mOeKhHlkfrERIRxL+UnB2g80
2Nl+0KA+ZJLvHOpemXeaOeTiAJRoPkJpCi4FlvRmVc0+C/KAJyG6DNiVs6vOgq/RCLKTiWyQTHQs
fyP3dPj36fVtcm9zaPz70wsMSf/Z/uvZtXzX97OL0TxrTMMEfcdIhFPsz7OLL1HJIL9F3b4g1344
u1hXGnAQocMQg8Kdza30/exaBvo2UmZgMP8TovZfzEkIpvrpfkOZDP4X5KJj2kwzGGf8UhuMZmn2
jRaoS8cNui0J2eWm42TJWM0B24QBkk4OUmAHPacTAVSSCxeF2SfwJnQOLTQ1kejOaVoIa2OKBGhA
0gellypbWUSVGH0AigA2G3P5+tq02xpxXq+dMSp3dh0wt2ChD2mO/l42pDgR03JdiIrN2cIq0uqR
TgF8EQ63cV0uRKO4hm0kKjoxumgLwVSMcgEEEptENCaFxE8TORt94STRMiHiXdhJRjaUPt4xiEoC
tJJt+J8S1FIFcqle2EutvghJFx5TvAgu5oXRpA/ui2maN8FCb4rAONm+LkNkMGG3EJ4iUE86yKdm
YT9N8XitA4Mq4L4FwKEEkCidsTgUCn7ZmfYegMkJExEKL+mcz7X/MS+sKbVQp3xzPFMLh4qcqYZk
CzQRCZKUgIF+tlCrHPBVYOs3ntacI8Z7SpdkpeVyWYuFeSUd9TYL88IQ9N/Sr28IhCMoK7Ua/6qz
fE3ttIFFRA32aR3pzOAbOkrfAARHvINJzAOg/J2p05kawdYgBmL2fbFxvPGsnJyWvtJDfNQpkAVD
twDtUrbTviQkLCY4QZr2I5Cb82HJnYB1uRknkig69Rl57sY0gQOZRFVgo/oavLgKvSXFol/yLIwl
2cIn4iJqwal5S+pFndbXCTEY/pKHYSzJGMmSkUH/gkWF2AyW5A8pMRqDXuBjdFG/AqfZzs0WjRl5
qhaAB8O9nmT8CEkmWPVFdxYvKR2jRl6HvyR3+B36NjanPQIRcj08suE21ZL1US2pH2KJ/yAGBGc5
eSAEg0TSb0O8xMyaCQ3Rl/SQnhgRbyJPpJs0EXYakmLgI3Yo+yzb1LGN1XDJIgG2UgOQIJ8k7mNU
2MRbzJVl4s0jgS9CKoR7DJP6NLODbxBJw80GVCuvoY08g2Yn2nIq/A2bilPhmns8Mxhj4+ByKrsO
raHprL3EOOiUCCu3xh0JJoO0hHy6rCbt0FZ9u1Iyeycg5DEtoKYoeZXaw7Qc/58cUhetGSPSk/7F
KB19k7IoXkVdOZ4C1V1hWv9IbQZVXZ3gM1dvMoWoaJa3GKcRzDrzc970+qrTnHjrO2m6rbkr8YIy
HKia/8femfXWjXTd+a8EuafBsYoEklyceZB0NFqSbwhJljjPM399nrLbbdnu9psGvgAJ0Ogb2+oz
iqyqvfdaz7oyA/Y0eqKv8YxiHnHbdu4GuTRTDQoy0WlsTdFNEQYDN3WUrrUyucc9d2/UitvU2yik
40+5YNME0g1Jg2yxBRXmOcXFx7jWjkbQH1wvw6A0OmsRlgefQ8GyK7pl7xi4gz3tsa2mrVI/FDWA
nEGqHIpAPrQzyI4ksLxdX0r4+pmX7QaDC69CcXUyk8LVCF9iWPTvtvhlWzQpuv5+W7x47Z8+P/26
LapH/bktqnY/exzxnCYzhJ94o2xTinWmRD5SsPd9O9J7HzhhMwLHtEYty8O/b4sezwf+DN4GpYAa
LPyDXZEy4S92RfZCBH5kiArexY8neoytJeSaaDpF+aU1kWdj+tOwGFvvbpxx5ekTRl3PzM/cOb2m
l/gMqlxbSm1GQB+m+EYRsi9k6x2axDtRWBbLURPPHl3OtPM+znN1h8D9rUPIUmkYMSJPPqZlVrJA
CWhJA+FcZnZW4DhZ9qB14KhZF4NeQV/ApLgApv5RBGLeWIXgTvEryA0gSZHLPySp/BhM87Pmw+bw
E29Hl/QuidrL2rMvIpf8L92jPk9G2A4jKN6+RUOpBJ9aczTcGEh63hNfUvCZ4YhBf+Cwvu/ccEN1
5SNzyjd5qN2jiV0CUF4gKb5IcVbPyo+RSyR3ft4wmGAPjqOKg37qqgpgwfEIr3N0ahKEz0FUTSS2
ZKuoh/NklA1pqCMu09ii4USY0yLItRicgvOYzdjgBWf89Rjp6YHxHxPUAZKkRn4L4EaSnYZ+lUJ1
XXm0c93Bm5lHdDdiQrA/185HJjBVsgyi2r7xZBe0HkaCAlEOxU8z3xnDADepd/FYrBzWtHCdxm2P
jnkC4wPkP0jtlV+gnK84JbgCkX4zbfV03M1DD1+tQX8TB4Ss6Xa/lDNcct8x7mxJ4gZ8xtcyds5T
vfEIjpw/zTaVm2i4cEK/u2vz/FOUvta+c6gA/C8cu9kDEAd+ImOmvfmuMHVtHSYlvDEJTE5HhpxM
1jEM9fvJFoesZCCTOdNTZTjVHeaq6yCzrw2DZKpy2JP2sR3j2N9Fjm8ttMjfEaAEL6GyjlMHQsHT
SrmfNE4ic+Z+1PraXYhK2wyeiawbdZOCj7j+sJ89J1noRSlo4uUrr9fYgqpyG0WMPShiL3PT31gd
kZQaXKS67j7OaXqfOuYbwuGMtNfqgSIJKkhyN8nwMcjqS4SX0XJs3V2Szw9NnWc8fbijCpbLFGdD
PraHrJNczfH80KMdA8b21E7Rmunb0YujFY6eR7xJ7cq3cOMmOhrTtFZesfoubBDdlh1iBF0mxwSn
SDnT4W3lY+XRgKeaO69LeT2HlG6Wf29M2rjVp2mZdd0n7AjXaBY2Eua6BcxsLHV4a2I2z2K3h3Aq
coRa/YVpBZsk/5xQEHc9PrRG2Sci5ZdQyFqgsJeRcFYu+ZVgNsHatvBtKbvHpS/Mp0yhbx09aZc6
p2ODtKpF30+3QoFyx4LgI6uWtzkMXYzHj7MbnqewdS16wXAX8LFA3cVgt8s82HlCVpjPMy5A/zaN
ieoj+O/ViZXYozduuYwfpIL6ghEkKUJcgRwl73Wq12QWXxY+zq6sMZgvBSYTFT93FqkCBrst6GAn
GVOaDN51krCuhAow7PeYspFDD5tceM8jFOIEGrGvsMSEqPor/CKgiqfKW9excyzdxr6c4RmjhoZs
7PdVfFPmBh4cROlBggekKM6sOXg2cuPQkUe1y3xPW7eJeYFRLlZHjmYzpW6+8ZL2FevVvO5kmKxq
NU4hCMJjIMeYEZsb8wSHaZFv12ezAffONHBh0ZEP2+ua+AviMSDczvYFKP9jkfEpo6Ra4WKEKDZr
NkQPEtXDrFvSIfq3Ev5j9s9e+/db/h51yq8bvtqfv234hgNbC6kAu7orf2FrkV4D0xTylDSgkH/f
8CWNPwTAUmBVVxo1fvStDnaILGTy7nKAgKz1jxW9P9fBgmRyTOhK0Uuj1/lyInjXVrbCtOR4KduL
LBGgiFQy51hkTFWvJrOf2SMjL/RnAXGj10NYbX0yrB2DKw92GxKiYWlPkZUeK5f97QQz08FIgJrH
gcRtjKLqGDSlobU1JHNOekR2GhE6pvkx3BXN94r801yLzr6UXefV+UrqZW8fR8cZWEEMrYqbJ+g4
9TzD5CPxGrMEBA6vYSQd1tu4Kb3zsNLDfTDWnGmHwb6rCrL+XMB3VQfcaWEnMUP2auiP0YSbEVtt
fiHTpLs2RDI867njlKBJw+C5t+txkzZ6dhaJpGCoW/gXsebYGzCVIfZPgzwBd7CmK0Oa/h4Dz3Ce
5HK4MKDyrWospMWAORhriFk/uRFi1rSlZAYT5IB4dOL2FiIEThOUamCHU2/bh+nALJyIHYiC21Sz
rWt31tP1qDy2aaePNrUqOl2nbTFuCn26qCG4bhJChTZ2aWB4aBrQpWz8ZEXOfburfB1unlGSqeNB
zPpkzeV8Gc5zTA632ZnPCeXksauaYD8hqn1Ak2SRNWziAysZ4c1u1p26LnnhK833lSeMG6Ph9LGM
yVI6twdMco4swouJSENIW0504URNs/W8lBV29tyLuWJmllWQQiDEq6o0mF4wmKRn1GjNxy4ruk3j
xTmQ3Mg8B8+QYnoNmwRbKLWOAdLritG4tqELSC0WIUXE81EcEYP1x6ZJDsgNZzJWNHdT0Ux4G+BI
79wyCw5jEdm8t1hq5yi1dEKPGrKDigkPatvSzKwmN9+WAb5UG0YsIkywGIvZ9PxDWmviIwP+exi5
5pmpueWJt+9vtIRknKYwsafVtX6a5pCcGPID90GE4wgdYczguZyuQ7oBq74ZqvUUdeM66Gd/0wDy
Df5dWb+urA59v79fWW8RryDC+nVxVQ/7trjiibDpCRrEa9kmYccMqb4NSEzrg3jffPyjlEKJZaGc
kxLa9Nel9fvK6n3g37meaU3+Efn6D2opMlx/rqXwcOHJ0HFeYL9gVPJjLaXlwDGqqskuc6O0uaTM
zqcJ30V0ERcEyMHeHMeek2cqy5eqzz7NxRxuMaDe2OhCoCc/Tz3BRmUX7GoIr1UJXgYKT7rqbHkB
bIyWGd6fRVGiPkLHgeQ0mNANlKKDbwpXRfMB9fRhu4z94tRAxdEEln7HGz6Ta1yswwJXkYeiH0vk
cYRfvLC8+Fz582q9QO5AkjOnE9HjcOBnNPM/g/In3qCrn3ssYnOWUBWY7rM2GptwaI2FHIOdZB/J
5wQ3WBL6C6caHgdXu0vbiYUkMW4sp30IGHFvPe7kLSAkcQpYl2EbeC01SoK8ZgqeELZA1XI4zuC1
uIoi81Tg4CJRyLwhakbZX6Or0eRW151Xu8222DqeGjs62qDSljX9Whh8xxrcqW54u0yvHzor2hdj
J/DGBQ9FIx48eBFDwTDGemk876U2m1M9R/dOMb4ktputTEufV/h0LlFjc8hHDJZhrwK7iOJpJvdr
MyXRDWDei67ULmar8lkmqQYmkxLYqdxsH6OuWbBLhotBty81Z2CDJGp7AdtYklhvHONQBNtY68Sm
ClL2sA63VzPeiUY7sFHAPJQtxKA+Xuhedion21vSMXX3dZmb2wntgouPC+dsFxI8n7rEgIX1Ktbp
94neR+7VmXSUU34qJ3NXE7/ru3KTRt2l0LuTXrBro1attrWd4z5kfBUkyd50SIobW8gBrJS0pfR6
j8y2Xtam5m85OPjLgYxc2hMo+ma0RW39HCNoFr1zOQT6PojluBRmvLXj4i4j6t5TvopkFndtXC30
LPjYEDQldBNxzIz+zOkEWcMV+EM02g8YtEuowHS2ZHmvdR3tvma40zz02jw0Xc+pVq2tPrmZNHNa
QyVl0zAIlGi0jKZ4eW5P3imxUaG3MCMWbjGcdWM/rEd3LE5yyALuldpdxUVkfm0PtGQ4JMh9n1of
Ea/elD7C8kapwuL7LgF/G91ZLUJA14vgPBrVysZxuHSx523zps3pPNblbjRMf2kV+nEqh3NyJ+ZV
FkfWCtvPFZLDcD3l1bySZnaBFiun1zAiebPooY7BvPfH4ikZlcXa0m9s66BNb4mOoFEL0IiT/mVN
Y7xCard2QdHTM3rTDWReJOW91bP+6DXemT6kFyV8bZMp8cJptHAtwGgvpqy6DsnMTmFnoTuDcTkf
7A7ffG3AJuTai+m22LSypzezqT8FGlqoor1KS+287eNkwyxwRXzIOXxqTmA6HlknB4AVd4m+6Lyw
Z6TbvpU4hRbpOJDAO8oncGufOP7SHS20ZGEWTETGwUU23U0UN47mIjyyH1h1gbxNNRqeVLy0ODQW
QJqiFQvysdHqcRs0XbcJ5/7Q+gjozDq4FuH4FEcOgkQ7YTuumpRec2ssG7vaiUys4GdAhwjHm9ap
6OHE+TqFkYo7OzLXee7U3HQFt4QrznGix+ti9C+KFG643fkjXavgxid1uyi9GxCaO2uE9SpygM7d
lALyABYSGNUmaN30oR5IJvYHoJzYQHAQqBvbie+J82rp3w7JhmWVvBkzfB5zMkHBuGyQwR9Y0K8n
u+h3FZrXFRvAFeRoaMqEyPUoLrahTg50jwd34RB0R+/qEPrk1iRVegbQ8ypyALqYMV0F6Hv4CGpj
nQcpj+37G0eAvJvz7rkpYvDiKPIXTLRC+iiVhhFfe/Nsg/0irKMtg9Qryphn1HrBokqlyzDD1Zbp
SCcHCEB+AWpWGbvQebiZD+ltouqc6E1ZJlKmEGgjZb65dcpc38SR3m6YKz93XnRflFxIg59vpjbA
fsavnL4yh7+BnEeC3fRgg0iZ77SPxB4uH5MTGx8HfhBuGiflW+rvwgnnKXviso1dMuKcBoe7dAhe
1CYuN1cmKw68XLGpmlhp87BK7Ph80kgT8wdI74GO3F5LxJ3TTltsJ5+dwrmMg/J1NHi6xo4fhCDL
cqg1xRfMzwws5xfSmc/Z/5G0YE/TDWNPvHdNGWOCbSDS9aFK43TfqF6lyY2f5ta9NtknFOOfhyrd
eH58x2avHyNBKiz7/76JgpOMqltvTnaWRuddhj2cSdrzi8kedr5j4SEDUF/0NirWGnOIKeULlntt
hcgxWFKyzJupcK8NP6vWjhPaOAjGfF2W5Hf2aefv9Xp6EhoXQxv2JohF93bMJfWIrx1Q1j3VsYSv
R1TRGJfboip4vCwviwR/NnGewVozkNDGo73BefGI/00u4kpcMuf7WNhi65eqtxdYb7FOqK3VG92C
IiZcu2MeboRMmXIAWaVnRcxuHhst/paJRtFsPIoGEK6dINwu+cXWGqt2CCNoFctpWAotfoLQdJ5E
Q7hsQRcsq76EFUn7wm5r8HtorTtLjTH0ZBcHICoiF02d3iKRrkzaRgApkYV77ucw0PDquCQ79oal
L4uMnM8C3WBBzAarqriHcgk6PEAUnVXabVgPd7XHjC6PvGUxpGddA0Eo6JglBcxqViYK3pZu0tpH
09spcW+me3c2at8A4fTSUgLgDC4Dgj/uJwt18Bho6cpEL6xxcuKGREI8oCUu0RSPJvu5EhnrqI0r
oQ90daPXgWaoVoo3oWu3moVAWSqpcuIlb1KJl83UfOlRM3vs5DAHnJeml1s6zmThoHz2c4u+oxJD
jyK5DzLCnUhAMJcuiukY2m7gP+voqDkY0PvFSbQwuvhQOjX8UByOFwAZ974SYrsosgNSXBfZEN8a
NXT4EtW2zDyxMNFx24AdRs5clGEzHcOyyNeVkn1PThegZEEKXilRuKvk4QU6cRe9uOtOEJqVhJz7
7k0oUTnXDLVPYm109OYlWRyEMhhXqZKicy2cWyJq8SrFJDwn5Y1QwnWH8T7Hy5F1us7PRyVvr9G5
G277Aiy0WRoo4Cslhc86/Y7s5sM4pbemEssPqOYLqT/3PbleIMEx3StpfYHGvkRrnyvRvT5hX/eU
EL8V8avH2TjsSUkp0erPGdQMJd4P6nlvouaPYvy7CPxLpfRvOOXJhKUvVC6A0Bvkll4IbxKLACyn
N6pVps/F+GhlnPmUoyDCWkCY7N7HahAm+ZOP9SBuu5ONFSFTnoQAcwLUAnZKi6Ggsi1gXxgdAN4+
hoYRY0Npe3sPowMEmctWGR+UA2KywnWIJSKq+7MacQ0zGfAwem8emhicQPXFSpHms3iYvhgsKs3p
k6vUacse4oZYdk6pHb6UXv+q9CyGbH9fg9485f9tUz/lL1Hz8hdtPvXgd5Uo4zcgiAhLOHAp4827
ShQFKhM6RC1oV95HG8kPHng1pQr581Hf2nwg+enLsQ8R6/xVCfMPilFVan4XcyqxCx1dHEj8x5Oq
nKQftKMOEFI39uv5NHNvuT6C93bx7ou5/Ppc711B6hm+vwKeIJ4VfrMU1OEcWb+YZN+1ETGxiXIs
LeOEQGBR62gTIo5+n9Fa//51fvwkv77OT7KdQjPKqo4c4+SoiPf6bJCff/8CX0TBv/skP41AOfNh
aw/5JOaIitC+k95bgQvP08CW9JQeIG77x7LbddFlWyDYiF7jcBMEl2Zx1eY3waDUg0dBKJHrg+Oz
r7r4ZmDRHxm9//6dqq7yb79zuh/vFcFWpPkt5wm+C4vYQgZ25X0HXbow7NNAq8H3EwqANwkBreKP
wGyWv38DX0Jcf/6qDASlSpVFs8NUveV3v3R4skbb63I6Ue5ExtIAjXCW2KbVLqfSrkqV/p13e4QW
h5qoWacbro0UoNSQc+rpdW1e1gr0Zpad3kMA0w8Djs56m2YPZmYdiEDBNW1qsXE3WhmJu4kXwyNy
20Uex2vkg/uyw3rZVxujnVYMzrbhfOpFtM6QnxSoBjsxb+vRu8wQ28zxxu8eVIJlABY4cM/JsAav
AKyGlAeOuXuLAFZJo2MCoZM4t0VZVSthYYamGI/g4nRGdyb1bI0AaKoeGg7lnEJpOedHo7Wv4vg8
HrNtT/jVHf3uRWkRf1x4ty0CSTt2FnGPq8qJAntlR5W70t2MTTVJH1uN7TmbqfcdH7B9YJ/9/jdk
/dzd/+nGt3+6XejbwlEYm/mkb62dv5/P2ntrSx/hRAv9jKbxElLRiubCxloe6gM5QqvxUdsnm3ar
bwVhufH579/Qj/qCX2/fn6yDNhgFmalLtkj2iN1yoHPNgpG5/h+WI3Xp/3xlvl+OflrwoGeSfR3y
OnRs0tvxcxUso25pmxCC/sNNYPz4FX/9SO9vAtUGfHcT4ExKa8ujSxVaS0RURLWPyzpYDM069pbB
iUnp77/Cv1oBUU2inlBGT6QaP75eJrJRSnjYJxAhFArPvXb5+xdQT/Dzd/f+BX767sAGyLwPTPME
8V0dEAcN1VfyHz7Ff3qRn1ZZb/TEPLm8iNcf54rouVtTfPr95/irLen95/hpeZzYq+s6c8yTyb09
pqhXxDUpMh5Nki8v9F99OjqPXuqiKd7a/6Ge+aUAABUFYfu/fvxr8/XvwWuxemqffvjL+ost+aqD
JXP92tBl+HYiUP/n/+kP/zA3307l6//870+fM3TtUdPW0Utr/tprV1kNvz8eraLX4K+ORjzw29EI
qwJmBJ1WqU6cARql70cjAxIxvXbcCI7S/Co11DfJk/WBY4tOJSwZUDKk5Db4djQyPzgWFgfP0zHb
qRHoP9E8YWn64XrnLfFkzD8RQ9k2hgld/fzdDUwVEDZh2lrnhisyHFVJ1cJK7ISTcIzPhhJlUj/L
ukfgXprjKszJj+kKBWXMgzOri+VTEuZLq61oR1SfYpkaxuVgNNiV4y/i9Ebp1DPSWw+BpcTrldKx
W18k7Uaj1xpRgCjdM9/yD8kk9HaNIj42biKJwuI4B3PakJwYiOG8toDTXJVZuu1Fnr6iM4hWBQTl
dNnZbhdv9dg1Nh6T2P4aOWC7t1OTluY8h8m89vWpQ48jUWjIKtSPZuf5x7qqWKPynDFDOHpsBlXd
rsEgRUf6KfaZ788l7jLP9566JkcuYVc+Gi1pQ6NP8rC7DE1Cjaf8k0yCl1igZcF4ki1L4byWLcGN
ZN0A/Mgq+zNuS9wCgJCqgDCwWXc2baJ1nwbkXBgAdCgoGAMNJP8EHdBoce8NPMMrLxn8lzES/a6x
csaojEXOtMTMdolRywtZdeN+Lstqazt9saxhKlC35qOyP9IKqWHKer1/zi+3XAk4p83Q+Cu3zY5u
R66v49fyfHKceQ/rDfqJ6YHl8MItjRxaGQFNCGty42XREN8mCcjBiPDq2qFG533eYQc5WXEktpM/
ELzYqKx5n5K7sccHO7QJIhlmsjaIPSLth34izQ06cQOWzBElTAjTwkudcVXT6kKfUponnQb8jTY4
1jVZTvlrrNtsxlWU32M4BGscVZ9zjlhf8fP/1cvW9rW4ANPT/LhM/b+8ahncwX+/ah2jPGh+XerU
g/5csbwP8BgcWqR0oL8KM/4s5nQcCg4ENDQdX10N3xYs8UFFdrjAgGgoO6ZaZr4tWEqyQeknsRt8
qfP+EYRNUkq+259ZFT2WKojvLH9CUGr9dIYyfKudklI6F+EMseQOtnia4QWYMhLEQ62TCxd2WHTe
uIn1UAJigJU2pFe6Zi0JckszxkYjt2MrdR+Woiuaap8V9byaZG85TOEa0iWbxj8MVgq1s0iLObkq
oKeXQ3aNTvsTXf8W/7h1MYmcuUgOcn2WI/jrKnwuZEh3ibYf4gUUS5POMA5mO00XlHtmMq0GeO6h
4T+gMoDwXugx8Nr0C/k9SRlIZgoH3zsIn4pVyLOKZdFNbX5ua5PYTWSPRnbkE9qZDmu9zSlx8r58
Rjf3KehjsWwF7WujzDcNhBz6hLSwYm3H3dOyHOTPulXHKC18JjR2dhcF2ot5XubTeQGgaLQkX086
YxVI/Vujcq+yQl97U7+N5yujFXdD39wLN1jbYIa9r4fif29EVW78/Y14QzYV093u13tRPe7bvah8
RLbAJ+S49BaoZ76fHhjx02jhYEFTw+Ku+H56sE1U0R7OSUUAI87A5lD+x80Ib4WpgxrMM5FS/kj5
j04PUt1t30/L3I02aUASrgt3vOCtcLp5f3ow/K7pkloUl2Oty02uevw2Ux5i0YddKPEIgIlmCwDQ
fuJD6EedhCN4wQSc7sGFFQ9R5jfnQo0jGsuqbmLGojtn7JqLIfHLz2XrZ1upph9hCtxT8USjZelp
8LYzQxsvmzojbiCO7UdNJ5LN8MGTLX3fSFdz7ucXSVB6n12NKdSYOqfAMBgvwzzfzpx07hj0OI9p
L+ubwXS687YJ5R6/EOGAstNAgjtQuqxObyG7NOZr4XTpg6On+S5wGnjgpd889dDa1qGObUbWmGlk
PIDoCPvyalCjuA6ZQBAFJRgHw4ZSpRFM/VI0QWgfDeZO07gBbg/Mfm5JfocmrIJQ7LSr6FY0eU2K
c8nWGxhjeBPicKDh29GBnVsLDO4FMy3mbDp58ow1inRwJXVeXw7ayjGDNDoKLddITewwcqA0q+CH
Dx5HI398FENqPWE4d2BxA4LaBKFwDlMHBawdivmJPgAlT25G+jEYUC9HgeExIumDZ66kCHrvPD/5
TTi/imh8YKy0yYPooEnSkDNDAHd0mAvDoWEg4RrdtE3QLB3pkkxnSTGSOdMS27oYswJeRDQE0aaB
ggC7tkcDD97g3pZRugc8cGclVbgjFYn0JaxLWKHqdifiRty4YZntWw1BfqlX4oJTm77K8DjqC7N1
mCGiYHttyFB71uSgHay0lfS+M2gBBlF8LZiIXtOacY3/vmrhf0Ql/aECHXbp56zurkKSzeJTgLp0
NXv0xkc/ic9kzNStQY33aPhgu4ZZTmdNMhePczdqRy7eYGnJnEyJoPYfgK4Pd7ka3kBzjm60aCwv
QzX2yUm/IomPSTps3cY21n3shS2RGU4Dp3PCL0OustiZvfnqCU7bqXWQ42CBQa7JFtQLYbyCBwbp
Sx4CLf6GVGPkhv93arn/Dw9FlMd/vxafPTXN61+waZUB89tKbKCPUrYQiiVMk1/62H+eilBVqX/+
1uRmEfyut2KSrzJqdNhYkGG+r8SW9wFqouAZJT9U9pV/tBJT9v20EjtU+7aj+pDIwUDe/rgS9503
apx3htPEKUOuyfOMQbtI8NLBFOFyMP1jO2OGWk9x3ycfjc4AukrdGrX7co4I1+zFnJw1EETmdTya
7UysfKmWQyZNwnkZcZUzymHSPq+Zd0ewrccalpwReG+enhntzdQ0jKGg21EB+NM8e6u0LAblqdB8
bV5XIjAZtdXJALB9pkvLBLpDkLHOTCZSa1saMGcVKRztY2JsmYsiEah7MtjuUkMLxYaI7H1kGiWk
c6ykLA/9tButqYvfBssdNwGBhjqZkTEMClU870JSCA5YYtLnCFztygvg2iymcurXWopeliQ7YLAh
i5yeaSCEkOw+9w4i1pnUtW2rT0yUnSqwt84UvolBsxdZ7r7FeWrjMQwo9vD9bUstBjLb07bFmTIc
wwAQvYs6F79LZi4w3geYFTQOX5KBtQmxlUwY3NuMCDQG/MrPz46m79zaZq31YVAbrpKGzkVwKGst
vbRVBG46sgi7Zf6ayNnZWqkVrAHW2lsURdFaJ/8Wj5skIoct6jLRmegiaIDAgNQiq6qB/NOCAbBr
vYaQs3ecLrkseqRaNIpJ+ikCjB1Cey4TP9iJOe3oYxdoM+r6TQ6+vy1NbAUyi/tmNdSEg6etyWgQ
++TBc/R4ZWphjKGT9ntQiAK8X0+nMUbXIx1kHXKYrjzPd7aDV2TrpgudRTFkpCvUtrsYOh8o+Vzz
Nl3rIc0T3AJVHOAqQUuDvgFut0xJIy/7atEBnNkSdlRdQYjCZh8M7ZVkQriYJ6OCboajdo9oNd3M
ujeum74gI8Uey/VoyA6GPgnj/pgnOyOFbl758R+ziH+PsGqQ9/fL5vkTKtVfz6/qQd9WTSSq1Io2
B1ek7yybPw4GvwjvoTt6uN4V0udbMUmsl6mrUR1lnqMcf3+eXy35QdH9bGo1QOE2BMJ/smqaXyIl
fzi/Uq+yrNusnLwLnvDHVdOlw0aUhz6frCz8WHFgwL8+EeWkBiDGnG3cSmwNBiTOpJH76H2El8Rm
3AHlQklwG7v2uVW0+4yRDOwnhhhSEsu0jgisvUsLD5eAqV8FWl7v2yEKODemsfaM7YjFITfA5B6l
32f0bHIdCmYq413TEkOV4eG90vMSoUAnboZExR+SjOQ5WAjG3FqVIQqAaixup0n7COzpDkFRt9DN
GWVCPeyFNp3CyD2AAF4RtfNSE9jlJPmwCGL9uozNS/SnH82+yVdha7HmtipIFYZq5+dvU42MPjSN
jW/LYGXWBFA65njCKPSEMGhcOb3VrfD5fK6GbF61OqnA3uiuA70lqqMIjU2CqQNNu2ZP+wGNzzIc
gqPRyZOVBEyRwuPcyaVuoAPtsxAVIyb4ui/vQ9171GCiInWyrhJc760DkCtCsl7H811bD5u+M8oL
w1filOLNRJTV19G115X9oreyM8QoeyObPiZNd9SK/k2vnWmlaxMmZMvqFnPU9wtNS9qFlSa7qtGg
zYViiWHJXPkmoY8OyYgnk82BpQTzYN8OKCGKYdkqyHmBvJWQn0lbu0kyL/OxNMATy5dwCg65ZUzb
1gd8TvYZdn9zzxx813X1yU9hhFhkpqBvrauSTUt02bZlMoymMM32VoudvHHO2xFvmVWY5jLEhWnr
/nOCEChJGSQr93acj0+BYFjEcy6L1IMPqGiAyDooTLQnvYZzWfdkYRkJvsrGe4UXA0KVL3bt6qRs
McwVZ+lg4bPP65uwIS3bbLPiaJgByQjSi1dz3e2QbAH5Fam9piJauVlmbIm/RevG9X/Rke0uNXuv
Vc1H3XF2emd+HHqEiEHY6Ku2MQ3iIc34jNMCPk7ME+vQAcjk90SE5WNsLy0k3dvJMPSLcrTMK/iL
chcl/dazGScOwSFLsP6PlfkE7MdZAaqJThL13dLDgDK5GcKtZiCXOkqXzpA/T02xMfvooQiw0XsQ
54KQ32ecTinaE2CDTCLfLWqXX1eD98N9tQZ8XyO+jrgofCCC0cQCLqpOXu865KU1Qq7XPOOUZneJ
/Rn54n/M1v2Ll/A89JJKyG8AGP2pjJ7KYGzoqNqnpHnuksupvM29r8PQf/coBWD9+z3qtkMAleWv
v25T6nHftikO9wBZQL3R8HRckE7v2iz6B8E2o/qXeC3et1ksV6GmsK8Z5lcWLr/Vbz1P9Cv41KVi
o7G/qH3v27TqjwuOQRdjMOZcf3EBCucvrg+s8SSMEmaBPV6VEe8vQYPTaaYVWXaanfBgGTjJeg51
Y5LT6AAn2rNXLmI/PbdLwEyMj7hHiV0jiiXstD2bzsobzKvcIJzPMg5DUz4lnf3oNypkpj0fZ+Ms
IKB6DjmsJ2S0LUMZPDZTetUjoliLLCPoWghyX6BJ+pD4lrOBpD+bUo64SdgAfW3z+8IKjx3IhrPc
yi7dENajp+ryWWrL2kueycvaWL5xGSJJZ46DmNuLHwaDZazIxQk7drcyO/LFE2OITp0oPouiQA07
4uCYiTNbRn1isAu7Z20r95af3SIRf53s+byxvefUb26HqS8guAfbQnQIUNjzil6cnEIe0jaFjhQ6
d4Q8r+ai/TRQTTQ9p8caj91i8NxL26uPaVbg4Esu4gG8hWb4KMmGaMlAS1sYtXbvZTBsCgAfuhOf
ASzBR1UC1MSzus+dlCxICJCbUHjZRgN1OpII5fTdmd0RllhWV8RRbTK0opOEQu54m84ar0nbQLNK
AWGxu1pGiKROe+ht/5623kZ0aPQ9UB3gOLLnaOruSo1UvwzoJoax+GLq+eqqhHMCWcaEa4rsY2Xv
xdSgECEkq1hYlSThT3c3/sB+nDliWE5dfwNxdM2fYeOLJl21Vf6x42341cxQK0JpChJ960Q6341r
LP83e2fW3LbRdeu/curcI4W5gVuCoyiKFCVZww1KlmTMU2PGr/8eyJ8Ty3Hsyjm3uXnrrSQ0DBLo
7r33Ws9CZ7qvOn6HOIZRGKskHhajoxKQbZwjp9j3vf+K0iVeRLZ9axb2WdFpJMOJv3QzxEGtJUIv
LHGvRDI8K5a/wwpoXloFAvKhim+RCL04KhABP7vOwuSVHepT4IJ0hKeEupmb2pa+xj5AFYfJZwg8
oYNBM/GwRcL3Ulz96zJqadVAuJySjWp220Q30lXeDuNKr9s3B4fj0rTn8EJRPlC2rFytTC+RRlAH
pKjag2KCWD5oNYB2gjOUOVFrGtB52ppbHnBQ31UTpLayRTauouMsIkVji3GcZdbmLcVdsVcLfH4Y
JNetUz9EtriEGnfOu4Lgloh5oKJN0ybLkannPucYd0S4iXf0qcyrG6fjh7eIdB2t6Upt/Ve/U7Sl
0Vlnt3TObe9vewPGseb7O5EoDlQjmqkMYNYDZCQsDfiX9CCBDdrLHlWzRHc7jc+BMdUelgh05Hyj
i0aRFw0BqWpiYzASHLrSLDrS6thEk56txuRM+auFPn6UYHpWkvG56aAdDt1tkkK2H5xToutEawYT
cnedswnKq0809tBjp/QZpmYdjp19waChX5QagIjW4mRBA/KZ33W8MGtrVZSluUhwiVEvmm/6UANJ
UA4DQ4xV5Iz5CsjOM0bQ7Vg2lgfegpwwAYyGpphYjBIluV71N6QiFgB6yJP09cDlYIdXoO9SgvNa
nkD++Rc9Ja5ytFJ/kZgU906qnLEWvdUZj4RpZxHyWXFXyuqqBidJOQ6voVSPgsSwOkbwr+icf/Ke
FDRbI9JQneSlr6mbITf5tfnG91XOTSc5T1Pb5I8mEQNrLB/5MogcMLUdI9B0DLY+xs9toQFqsKNi
47I0IhJfVwRWeGFoHqYmPNapkVEdq84S9/BNH2eczc3iVNXqJpbmbTmxVhbajRZUugfcTdL+E89B
UF6Udnihc3PLPlKhZ6jtnWJPmucD3oBjgWFKWjzUHKce6eY8ygYzTG0G2yBVOP9p7SpjgVuYTXtT
OgTUyYTf11DgQmEi83rS7BYQGz7TvGSpKL0idI8sdBtGW9lCN+tb5r2fEr25l5VjLLER35suPCVN
7zVsLDpn+zruIP+HFmGe8PuKgAZuClBY1vFNbhsb5unF0k+0xz7BjOOCcbJSN2buTelvlPbClfqn
zr7u64vJf+ixtIXGNdaoBTXaJ7TfdxEsXFuD1mfnxZVeMjErU60m3ch+01joVxpyN9wWvNocOLeK
hZxZ2FO0gvALr8w0SVbuL+syPXeuvhVDyvIbjStaCDd0XvdhAVk0Ctp70WDcUavmomquOpsOhNUy
3xMB3RgjgsruRhu9kkRdygimxLRJU0mYOxSYNREXB3cUyroDurEGggIlF58fiAPMIaQlo58LLtCC
ICmynRCWWRHgChpbGFHmULyh2woPfd4wQkGEbon7uMj6DbkUEIqbCt6whmXGC0kxw5FIYk/ggK+K
SIdk/brwm8k9aoYsjuqkwKeqG3PXifCKlofjPLfmOG6mAS4j3MhqxeYRMxAI1pmlHfQSumBeXdg+
jw7G+4VsMHMp0jQ+RaJkhehoYxHvukUbfmWadbDNQ/XNGNU3wls+s+XE2FoGAlZxdDgCq4DKrfN3
rA2tWEKXQMQAzsIKQnhjsQ41CmEhio6HcMg6ygKoGn0VriqtLrBeTGu7U5BLCHsf8GWXnxv1QjP9
c+KLraL0+lUkKSbLAQxam2lekqp3fP3s4lr6Vg7xRacHYl1Ww7Ws7U3sQM7C9A/AZlDhrkl1Dkcp
Sc+u+oe8GTCjpTcWCdR2at1lbnUaqxhL05TsetNeyyg9dbwnGLsGVJblrSjMFxbXU+P2uUdKSuxF
dnXWFLlmgdM2gMPZsrX6iigwgk8mbZvbjT7nyxyFS15Y4octSR7JuJJDw/PQB+kyJMVvIe16lQ10
+koblklU6M9TjWUu7Rkqoc8BeWdfcch9kLK8HEQqGO4qK40oE6t3HtlacFvpZ7A3e97crdAhgVd9
eFdOgNviKD30GlttQvql3+z9tLi3Su2h9xP2iFzc1/pwKAb8GYgl8XgiMEaNGXzKRvQqGmy9KbqQ
pjzgllqX8PuXFIPXoYUwxlbsO8rvwzTQQc2jz6kJ2CbBNFgb42U3OO12lCPuh8E+ZBpcIjtjIVTC
DYmOWNcsc5sU+mWvTqDRDcMLrEl69mTfx32WnQzc/EusZ8pC6aW+7EJComlwl16PvHZhZaBMy5po
b2eS29rU8YKq8WeBw91zhvYkytrYuLIrNoFb15dZJbENGP0+jWHawXzbJMRBb1yMIZw5iSeA3p06
k3lrN8oFk8lsY4fFzuW0VdLvNmISEEny+S8E8P9+9bXPMuh/LsfmliEL8/Pfy7H5c9+VYwZWQoFj
gOYhVdeHcgweM4q5uZsICfyvpiFuAoYs2p9sEMr0v6oxzSEsF7sdSD1egH8lmXvnjX3XEGDo7cwd
SObVpkE5RsH+sRqDSZfoYtLDY6ZOpn8ImT0+DZoaOmRhgvM5FWiZLqa2sp/s0Ozl1lXyCiHpoPSP
chL1Jzc0ixvXjazJI4KnJ84yF819bbSM07FXCiB3MRR1jlnDfN7CMGt66XwG0wcbFxLEw0A7tvMh
LR2fOZc96/PpLRrOdu1khBGrG30+4unvhz1OfUNHGginwNDmBIvJOvACSVBtoI7PyXxorObjY6sH
c+gnR8pxPlyCG5jjOjkS57w1VuvuzEDKRceZtMzss8kZNYtsbZkY4nX0hytOKQG8KNqEnGtLzreh
E3PQnY+8+Xz4ZfgzbZz5QFzMR2ObM3LMWbnjzKxzdk6Q9F3iB2SAnkBf8nVSo2vO4qbEW4kK0fFK
zuGgqO4qcyoPBm/3YspNjTKFKHCJc4oE7o44vvlQ3xhDCNMsSC+J50KeUz5gfOy8WmP5b1X5NtVy
XCXukOI6b7dpjXaQCkJLiE0SIl6PiusR1cBJm2qjLRpMXfPKUc2lSAA5bBvl/D+zGzjSu8WnnMpF
uMS7mARzlOmLloS39lziNE2MipCqJyqV62gug7q5IPLn0igAzhHMqpsiNc/hXD1JuMJk+VH35nsy
yM7lXGiBlGZmDGRtUc5lWBEM+xyrQTNPxc0i36RzyaabLT5gqriWai6eyzp7LvC0IVrZZTOfbTC8
z0UgWoW1OZeF7VwgivdaUZq7Zi4enWyW5FFPTnNhaRkhJANKzWouOmOqTznGn/25HLVDdjmLCpVY
yntbdx6EH2BX1p7TLIgWw/zXULuzMsIq8adjSs1bRzq+UfyFYwFGur1M3eQ0jfZTNBfL+Vw2yyGq
0B9SSqvU1I3NY6dRZRes7M5cdoeKc6+IUOEoRkmuxez+ipyDNZIrq8yOBtU7eT2nrnaqRTMX9oEw
14pRPZG5uAwtHUc+LQCbXkBJT2CM0I/Am9wrLunpXUUvn/6BEwuaFMNB2u2bTn+BPLGdJuzLeG48
qHMLokld9sy5LcEE6TWdGxX6xPjMGdJ2WdLF4ObnqXz4UM0NDk3NjjodD/a6dUUHBCSF58wtEeBW
2Pvoksz4fNolTAHmBgq9A0kBQVNFUfN0r8yNFuu95TI3XwRdGOZxyQqaxLVW+w/p3KhhLM18ld6N
60yXKb2cVku8lN5Ob2fPNPdJs+ai9H7iksOUT64xPaE6VTcmPSJjbhaRPnRo5/YRVQ5WZqoZU5/J
QfSYRnpNbtsY+0iT+TUieL++GDoNk/2UE66uGxOsnarZarFzTwsOc0mRabDKIyA9Vao2m6ymYRTk
RbGE0qGfhtG8UNRIuwp5sTx+c+uYCxrFVodhwG7EcD9VhKcRqpbukVxYm4avAK2Gkm41gZ6FM5Yw
cLD4gbro7CbcNopB6aqHXHoEaE7jBaPP++70X9fUosX8z9v0bZs+y5/1TPnUn5s0G66jqXRAdUgv
8yTuT88f7VQL2pcDSJM+woeeqf0HOnNU7Sgi/lf18OcuPetEYf0zkRMmDVfz3432/oa45sJM9Bgg
zgI4QDRzT/W7tn3gV2qVQ166mmgUUem1T6hsQtgsiILULl2OMr23NGqesfAPkQRnZGl97cm8O2V1
sROur+Dh02kddhXM32gftpjvBf2iQo9uVDV57eBDeIybaI0pPfE0vX4oJgTUvmoHXlaXR6qO+x5B
kV6bD1RbBDLyrq79lBaXq0zrlOVpxVEdDxY6eBEomK3K+JPl5E/lWNx1IVSVouEU79s2WEsajUN+
38Bs8vNxH9rUQUZ06JLwsimip7pwIF644iQN64VcGmeVcWOLMUWorevFBXEyj5zqx5UZGxN/LLSY
Ku23iM7vRr2Uq6Dp16Y5NUs9BkAK8yqlF+y8VmEH3zC1L+uGrCvoNp4TWCsrcc6AOV+r2j1FFl0X
vZrnokHcrPwefVrZPYAwfAGS/OhXWGmK/IXZjOuhFSQUiR7LtqZBijxvCzN7YcbBU6oTf1mmTrns
bZbHvixees09JAphhtnI+aSc15vRzFwoWZ300DZeNqCxKtO/ZKdfTlEpwQj0ayag4LzdbaBb53Hq
vkRm/Ibp6taIgo1vTA9ZMGVLdRbR8SO5DAoXfS9oJ6kUkfpQ2dd2Vx9Cd/iSxi7dCkXdFNAdvVbi
N8pU/d4MrLPZjIjpo+TWDPQvrW53uzGaP26B8DCN9iFT2m1dMN9ERM30qiXQqW3ijW2nj4UJZQTP
35UeWiqAQhjR1dw0U01lLjzXqqCZhaZsUzVhAZmGAWdb8qtlDQMx3bKX0DVw3k3O2p4RZH4NVQBw
AhEooMlk7I/UldNZpGgucmvd4mL3zIn2aZBEtJGaAWUebZpl2vLEoc9QPGfiIR5rfsNML4NVL6eb
guPhAnQ6Zvtu7avtzeQYF1GfQHLQ03xRVz4UtDQuqcmSl6YYHhxYVrRays+qVhAgXfie7MGn92q0
tStyjwol3KoAXpeKSHJPVYuNPapQLjGl1aribglsJf6ic96yuLp0hgKqZx2XKyhGOzsYRyYDXb7C
T35XVBZhcRJzbUODCf7I53ouC1UJYpZz4XQCOqXvzZxtbLAMN9il6MONJcEb9zpx0d1KKnUYfeJr
8Juj3oiAKI7IMtY2oM38VmA6KghMKhkeYOYkKwMkiDhhvIhsWgNReDKqIXiM2JXYQwVSV9wOV2Vd
w0ay4eP0w0K1AnSvbnATVqi/A9cartVUuSDXISIg9KvGHLnMcnhXnrfvKvTqXZEOnxB1ej0yxUWv
XnxVrseG/pD0qhod0rxE2x6nobYcbPGiBm0be4k9SjbQ/j3IzE9Mq6IfpIvgVm1EWj/qfhdgzjco
VZYwWGz/KbEiWpAqc31lAWyUE8Z/2+U7+np2dP/zdnkTvUn5k5p2/tS37VJ/T7o0kF5jBePZ+267
RORNTUm5i7diBrl9p4RBJCggXzuoXd5V3t/ZKgiLQDeD5YKtdlYk/qsR409ynCmMZ6EOVa2q64hv
Pm6XkxFmoV5E6LQZySz8bIrJ2Xoqgle4uJwiI7pU+WU0s3EjqMGX/czLlbo40pA9tlW5xh5wTgHr
Aln20EoMmzoJH3JpbSoQvEbuHErOiotaPLLz01gB1jsB7W0sUXOkg+OrB4y4hvwW0zR6Lxf4YsXC
uCSv/JH29tK29L3F7CoDDzzNrVNwwWAxKi8DIBxa+cqdicIJQ4S6ZQuOgQ1rgdj2M33YTJrTAI44
zvK7CTwxWQ0PTIIz0mP1L0qf31ey/ZRoiHJM0MbSVdYTqGM6dYKSqtwwqWy9HuUFWkmwQIAuFgJU
cgMyme2JpZVoGAFMWdbg7EbwylWvD0BrR7GjhIIN7pv7WIXLGPfKlsoM8lMk/W1LRkNhDjudkqkv
7XNftuexyeRdCuQ5nWnPNoG5AfhnkHkkcsCDLtXhwJbAlhUIZWUBjWawE3sDGGn6sjssZwVlKoJu
7bUGNx2AnR4dC8rKTKKenP4pmdnUaWUcUmDVhgAi4FranT1zrEG1MT4y/XUzM67HmXatDuM2rseN
Q+ZaiQi/rfnOgpmQ3X+lZSfv6OxmaLRw5cPfR97CaWDPcWTEAVCqza5wcI00swpV0xtamVWhSrHS
IxPtX10bjfucdlW/ixtLb5Z2og7ZYjD60cQvU5DCkFJTB2FVeaBCDllbVSsGqS95KCvSI/Ezoyzh
8KQj4zF6ddlP9YvttyYBedWXWdi1GP14OeYskUIbqQqt5Czmqa0wxJUSAmdq9JI/Q2UIrYQP6WA+
5s4AfX3obsqWnEio2dHSrKzXuKy/6Aycp4Y+bifST4GN1ISj8UHt2DmTGuQegplV3DcGQswOMg4k
IIbDWzOUj05iNWtDMdOV5TuPYzPHoJo227zoX2tHZwCZsnWMWYNALKodUjzc4JAGylWAQQEqDjKj
IX41B3rZGc9LHuDSnPZ2nm/iorzuDGBriF3vyjnAwS6CTQp9EC+iXASqfe/PjkmLf+Jo/X0wVddU
fN5oKvVlXz9CgK0X/qgUBE2KKVryR7GHwZ1SbKptziuopkJornLgQNAjD4jD6kx+ebBLQuY9dn41
yfJiyMsvtotVLzUJ4FxXYyJf/ttXvu4rvyzDILA0z//Hw6z5936p+V0pxgZiOZpGW9R2abl82FsQ
YNKm4PQAUo3Kik99U1mKP3RmxSbCI4tw5vcq7VvD1P4D2ZOFoH02BGsqkqcf5Cq/kq9gKGfv+EtB
NTdMEa/MLxybi5j/Kh/3Fiqpwg4cELP5EBECg6VhKcFAgc/L7yNpOCs9hkRe64gQU07E7DfNrrK0
L12hMkbMsv6ix6G8QCMAskhtt0ERQGHWLKiFBU3GvI3XLZjEWMSfe58xvoY3eAF6CJZww8lRZJaz
UMrRPYVVdmdJBqpVb3BSTqbLMRnvgqApPDW692PjNsMyfhQaIaZM1eiKRiJgHdSIS03De98MEhqH
7rWT0B4cWv2N4U+7DnSlv80rd2vbYh+Xw7hWAZhhNDlXWn8cihJXi1JddQzj0VxvLLUmgcAaLjPM
RzDs5UKOxaG2xERujLFJVJcmYVC/gEOiUAuCbiUQInhG5G+IUbghcn2N78da8MYtaimjXZeKJ23W
VBKMe9UFQL6cKYCxWDleO2TbsIg4NCZtuExlsnSt6exjpNpaisZX00bdPo3Qk2ZWcOWW0QVRxhU6
GqCTjfIax6lLVk2F9aqINv1E963yhUTyThyuFqLkJzx23abOyQjowhiIAlGxwoBpjHPMvl/Ur7pT
fBH8cTgZkW1UbGuhVj+HbW56tc/sxRQNZEpjngDH2oIMPEyXHXyR1KRLPNZbWmZn3L9MxzPtUA3x
sFIrrVxFFqYjLPf6ZtL1W3OaCWOdu3QU6w5Xo3tRdfE2gYm/tCv/Sq3Z6Rw/WftRukc2f+LEvGxo
g6V9vi4Gt11qVnTvmrW5yQfd9fyZU+amBFpG4jBW44NeZGszJ6OzH8tdZnTnrlY4g0z9G1ceVoOR
vnWi0o70mynOtPEUD8Ro+El4cFvFv+wM+VmTvligo9V3ZFfZT6GSiVUlWtcClIk+XZ3WVkJOkYw7
0IudQqsyKOrrAVX7HCY3x1gYJVgXy3ZendLpLzrAeo4v1rIcto3hr0fL6JeGLx9dE+ScOeZbE5vs
qsLRwF62lT1wsdbiK3aYgClZON0ZZUGDXYdWZ5TiBqXnvtHGtzSskqWWWOfUD4O9PXWrKSMHAbCk
BsF6ldjM4siWeI2n0t01hXiFxxEswLyxO8EmJym4vm6gpfEiHnz610sh+xLlhcTeKhQkS+YK0c2c
ReC0C20Y+cRAMz/vg3Eda/6XtPRPqRwJrs0a9diFbeFBSEenO0GR1XN1Nal2tQ1aJtRat0SzcNHH
er2MfP0xLifmknbTXIZkWB+MXlpvquont4WK0jTtnBEpVxr2xeK/3el9d9IpUv656jm85a/FS5T/
BIAxf/DPwkf/w0F4j8OJFs8Pm5P5B7UGZmgaiDPCGgzKN+PUXC3x+kLn52QPogI707fNiSg8C8fp
O0zjXwX+8G582Jhmaa8FaoJoAgcXAlm/6D6/7xGKtAkc/EfKkVE3oh5GK6o5vfl9GFAbpPaiNWB5
IQaSY8ApilpEnl1q52tddESfAcTLxTkI3IyUOW00lrAW5b3vRGJ8gfuKkiD0Uc7oo7mJK+jRNesy
nFeeP0SL1AyOKrFm984GR/qw6krFXbM+PORlor4EVZp5lT6U6yLEN9i3DTCJYJ4vFPy3hiBPvk10
+VTOqyamT2c50am76HNxEcfSWPS4payQkqZulU2rt58zoNGLjrBMCn/C0dNZIK6MhzEo3EUGiYHO
ZHfl5Oq0yGQcrDAeGxs5jtjYMSJg2xoaWNm86CMx3Q7TvIXuy3I1sejoIJZOcY2uLR+b9JEJ2Xij
afeRWdOnUZKrqArCJSrZ63iCHQxW9DCqzDcd5id9VL7UUU/xSPvQbNJm4XRWvxLOMG2AG0YXuVBI
HDKiYZeMtbqqrQq4qmSqyNRFLfjOHH3Bz6IcoTWyoQcurZjCgLhp0hmsrUXSFcP1xGwHcLGZXA+d
CvE2DLduwhSU5h4fSqYpWjMnyn3ysHNC5uOY3ELpzzmduphz2gcEYLUjaM/GwJ9xjWH/vbG47KaL
41Jd8WDnu1x2HROPIrrwbcU5RCYZDovG9Q9gtmonP2hV619rbfiYhgS5h7n9HEhQ6H2d6iscL4+J
1gQrvym/MIvMPHLwLlmAM2gG4zFVkwKeZPYlnKxlZQTNccxMYmyEKTxTOonngvZmT7Z3sqvEhY7A
w+viEeMwiibC5zZmyP+40vG0wWqdhfmOX6eN1fMXaN7B7BIJiXnoZnbiaAhPK7CZnSgOktmrNs6R
c/TTPL2myVjGaXMJBkAFTiuNI14rpDKVBfXNZNKjFMWmkDMy2ZnaDfkaT7OjoOEIRc71UF/0Aztk
2gXa2jJ95yqB7a5k7qtOPWLH2XXRtne+YhzqUujI/pTyalTAOOu2ZDpaTIi6cGZkuChu1dj3V47z
1ijDPkrFPjLF5RgW7krE4aZC/2kX05p7PiIwvLQyAPOdsre06DILnRmHZfmH3CkxLtslJ5iQjt04
BLsqTHdswduk4kdyQnbhPooXSiwADCfOc0ARBFozOrJloR7LqbGUpsuQsFWeZqc78rFWDq2ijHyl
vkhQ0DpfbIzTpDuuGf2vcTl7aoeBIdCx4uBqCMt4J8j8cPvB6zFKL8LGgq48pHdOqh6Z7N7Znerw
kLqFffSZtlz4zvSlrLSzNbU7Qaq7kWUruxkMyCrD3lISD3vnc4jazqbdSSlfEprjnOokPzuF/uom
vMNZarw17ng2sYAvs6rkiDMR/GB6Jb9xFsMjNkHXBFnndZNKr8bPXnDY3RI3SPBYEu9kG56mYjhm
cycknk+axVZkhcdCygHeUq+zfLji2OTp07jL/XapcOIG10EsYLIVtuplZby162FN/ufAShS92E4L
9BjveOt6CdhvsryOeak6q5xeMXErKJDb4KQT6xh1wXbgVIGJ/JIwJYKDoueqhT6fDF7FK0KnzPOl
tsRB5vkNeVvpW+G354GhT+yoiNRwiPT5g1WJZT2RAWJyDZw4pq8fSYy+qRt7jbaBNIHhbA7unLWk
cxJMa4yL6iajxoUHxBPIbAj95ppYwi80hq9Y4dYjYNg6dJa2M7i0tMId1qAtKeIPqtYwh3VubLt8
cEJyu7rxus1g2pRvlUqIPf7OhTBmRXa5rv1xBuGBFRi9wAivDcKNi844M5H+oikNgyJiJnvkAKq6
Vdxu69TKWg3Tm9gqLhtaOXStaU4REWNb5cpXiA9R2zWv4lXtOmvNqC8Mf+SC1Soo+cJIllwWFbJP
VC4vfVs88EeZ6wFGyFibpcebRHpyiHA8J2Mgr/E3KXta5LtJEauCgK9FJ5N1SKQxmQsE0rnwrOEO
ig2znHv00U9NxQCqFDswV1hWTZSKjdzmjrWjz4N+w3I3BMg89FK9L2R8hm658c2BkXTLd+eugrzZ
isbi6RRQUbrrvEj35ZR7ndLepJHYOoN/ZKKzy83sovO1A3WOQ1xptM7S8UTq8o4XDGm0cx1L99LQ
hsfSnqd+2L1017nzJTFZsj7mtXVuB0bKjlbftDObHBjwQnKSRNZ/mVoB8SeVuujT4CDnhWoqHsak
2et0Nssy5M3uEfH0Xt3PbvF875f5nSzHC02np6Kb4VHxsXRhwU5vcP0P3qQ3F1LFF9HTZ2oSNp4Y
xLN9FzeZ2OmQoubwg0fTYlMHzBJT6CaR9mrTr8+b6iGR4U7VtSPrLdZfmeBNrPckWPJepgTkTqr2
GFp1uXaN5DYjBRWXYLJJDO0UJ05M5YoNjXzBNYX/1k9s5NxKtoqmAgo7ka9BH3jaqC+TFItAmJ+G
AAWlP9DeGV9LpaSgjZ8b5mUzvYY3gFzPuBOrtg1WErqFp3BCSJrWy1I2icHNtx3jw64jKy5SN2Qs
rSN1WGERY/1Bbo19fFoPWb6Hnr6XDcxJC2OcJPGAaggKFoPVEIRDrps86ynvKVZAraCObg4TOqpa
li+tw9QyrinX0uHQmfjjMpXt77sj7U+8Nx9bF19PiCjA5pG00FzX+qEt3vRSyjbKlaOabaM4WRTI
5cPf4QD/zoW06P2DeVGJmnPIb/h4DI2UTLUtU1OOg/NZ9pu+fRyKLwFuD5zkv76dnx14v7/SD+DB
wodjPvlcSXfAjaCpECQ3TrsCgXX7FJG7++vL/fTb421irIFihBj4jzdG7d86SE6DU6c8Ne2+Cl7y
9Gtr8B/NUT+7I07LHJa5DBCaHy7h22JQ3bEMTyDD437TjuMqDfFrBtgbEIc0V//6jkzNpWjBDMjQ
xf6hYuhyu9ZHtYlOcLYWkcGoItiUyW/uianOd/2y94fuw0Xmf/+ddKH2lcayfS4SI7lr5CWkkOX/
32380JEjnhKdFMDFkywPdk9oGPAUEf3mIsytfnkbP/w0ZQKoq8vq6DQAi8UV4EYnMwJeIh4tejv1
UQeZ/+9vi1QswInMyyxYHR+/uCRyaN/FWnQS1XUFl4XOm/C//PtrQPSgwW/wHMD//XgNAg0U2+lk
fKILsiKGQ+QwYdK7X1/kZ1+dAfsRialmCP1HzGnRh0JE0RDz+zzm9mVIpRizGLg+iKS9CRGh969/
fcX5mfqrR/v1mfv+ij/8WKHLYbbUxvik4jwG9wXc6DeLgfZxNZgpJ5Ym4KDMJkY60nO5/+GxLkxw
G4OWneJLDPE7Ns8DKMKVdR2eLQ8r0NrxlPWv7+rjJf9+Vz9cMuyIHoEgEZ86u6ZMjha6y6JQbH99
lZ9/d6iBVXZO66t987v3FQuOLZoMir1foSTR9nNy96+vMH/7P/46pjY/bS79ega+H7+6EqSdNtZK
fKKbBrZO57T5FJkBlv74N/fys2/s+yv9sMBREZO0Iuz4pFlvoXNt+TfV9Jvl7eeXABamuYI3Sfzw
qEVa0jnmFCSnPD9aLY10dE56a/9mq/vZK8TD9udVfvjpUXuEDZGfySlKXvA/+YaykiZN1tZjHKwk
m9T6zW/0t9uCvIOyzSSLCGEcfLWPvxGperhlRJGemm5DJlBvr6rp/OvH4G8P2g+XoM32/RsEmJgv
NKzSU0/4h6ZgHASv/f9yCYCw0IkQK/yoA4iHIVMQY6WnOn1Rph3z6t9c4G+PMveAi8jiPaHxBpHt
4z2wdIpey6fsxDkvay3E1buIkUHuvr3fyH/SzZmt+c9d2Tm1YfEm82f5+tPW7Pzpb61ZzfxDMyhx
oUVZxjtK+C8JJ6AVVjPbVOkiEWvGMvBtbmjxb4CVQWaBWECkAy/et9as8YeDaxEKKHvvOyL038wN
Wd54FP5a9SwV5ALDQgBZJLvDilF/eNzdwVJI9ESLrmAeZbwA2slBG7+zO5a/Thpjhi+OnMqFDdIO
gFoyWagv+6qO78Y4IU98ontylUvdXOYVjAWVkbvaXRPPVYzPLbJRomuCoZroHwxpF+uw6OhjG8PS
eJdEJEKrpp2qujKoN02ppOGN0xBaIy2IH4tcETQTIBTHtxkjqzuTMGOd+aVK4w3dGFsNaOV1WTJJ
K5q0BuDJeD61WvEp1yhhYe033aeSdOdhYVjlNHpmPmmpp9RV7iVGyUgt6UryVuDOKVZpbaE3E5iq
dal/FKoWOIvUiaPDVBOd42UEIASeE8F3dwt9lwdq5mVG3B5URWRXws67c6bb4UrSMza9mXCO/IQ0
mjatnCedqMaJaHe3wGVFaDZgLieyhBdTU54VoqQmb2qyaJtKMb1kumIsw8Ac69wb1cqSWCRcKy79
BcLHpNg5ndFsLMkPwkxmULrHJkLQTXAugg8TCyohupxm50jd6WvALrgyWGGkYzHgpu8jg41Qm4nS
vIufDDevr11Ri3WcYshepLUZ3uIGuXKNuiTYWuHbPOVK0AH+qmeBTOAXbbWDX9P6RyfS48ckrfVb
BnwpsT52C/qqz9Uo3apGTkOI0FM/3lWajIeLTNCxfbN7J3hzDVds0L37ZAaGANAiVw9pZNcoJBUp
luTr1g8kZJTyWJEjiGvtf9NE/lu5DFaR361cSEV/MlCaP/lt1UJJZ7k2tR7nYsZUH9QOGnHT6NfY
ht+V56x131YtG7U6vgK6I6x3xmwc+7Zo2TP7gwUNwgurDSeGf7NoGWI+V3y/aFmQVzUWQUvn7K4z
Vvq4v9UtXO0ucRSS1rIYSMGug+yGxMcGK6U1BYSkcavUJnEJYXatwhT0ugiPS18l9/2I/jSNm90k
sWeXMRJP1baxxfbojasKiTqa38//w955NMeNpVn0v8weFQ8eWMwmkZaZyaQT3QZBSRQ88ODNr5/z
WF3VkkbVEzXrWvSio0Qm0z1zv3vPHYvpsUqnVynqM9nhw4L944TLp9lYcM9CaX6K/GZX6EVKhjK/
m4y0DpibfHH0JBhcpw1CU9z60JFWoxfaTJybJzG53yZy69t0lPeFkX5SNL7Nki3cbzUK2cnGPlu9
7NeJLtdFRmKemjm5ruksJtrGHFdrdmMG1tOivHDV9sUVc5IxWdthRYkIZYHaOpysV5kP2nybjoM3
bFE9R0YBVdtVD32dColtQ7fIkEkcABW8Usn3kovIDL1UAI2qZ3Mz2FCsMk7BfTrTc1XmQVGRVetF
+rVz3fdQUIYcJh4Fs901K7LRVi7uJmrNRp8IN7ine3fS4WcUxmuat9pqInG+mYntBDQlHp2wba9q
UX6ujTiljSyPgSDb8wClzyks47bOItiosQv/Z84eRDxsMpcOFoIxYj0J67mkq5IZN3yTZapOZGLn
QHP9TemCS48kGJbqutXbXdHE29x3ryY7fKYgncBtZs4oMHhYSksc9B4eVMzz3pgdce3QqfKVyGnH
4u958qIuuRqUJ0Uqd4qnfCrhaBaX0BMPuZcP20LiqfDxoViUcNFDONYJVCzQBpsmdxwIEKN3Xoz5
VrR4PoTTKq9H5W0aKe6VLk13GiWvjHXqyN9qkwEsy7mlX/oQ5ssuGyBFCQb9Qxc9dF5xmfxhZ0wG
4wkxUKvIOz8S1krt/mAV6ROV2USm4904eo+FthCkaNr91EcPslxOzZjcN0X/nHT6Xp+YD2Btljge
ccMsibmjvtTeCh0WwwRtlby/OPKWQy7s03e6/Nin+Nu0mSgC1YqE0gwAUou7Mxf7FXPzJlRAta7P
z0sU3hV2LQ+z3VFXoFn3ST9+LjUC1+1D0+t64Nf+bRSna9kOYN+Wq8bRH4Wfjmiv6a5Nmn3CRg2x
wzwDdH4t+ijZaa6zVfbOlUltK23DRNLAMPAJHd/8UK82ohjXi7NcjwLur/CeDGM8Vq2GNWLCmmN/
NqVw1iJM75covkAHxn86KibJY14LfSOMeVuXGeHyTLsOhb/DtgqDq/MIepWfh5CiAXMMT340038+
5Mc855/p/nHs+m41NsXBi/rToKRoi9bwaTIByVY22qw35saWfrmZLYt65rtYcFVfaU70kqrGUJuU
ZmOLb4vW7rNkeGn9cTv6w2b2+BNM77VjiFn0FsYoIhmm3geYfGjXlc+zyyTAKJjgkpo/eUZ/5+k1
ku00wihpzOekbw4jAnOuDSEzZOvWZGbEHffWKH3SN8twtql6Dia73IVl4x3QIYB3urvEy55SIzsx
ffzkMg1a5fDruthaGzI/x2V9BHb5RF35PTRSdwXw8gvpkIspmnMyGJcpL/pDNOtUOCTDPjfqY+0b
d3xIrqqe7EDcEIQLxRZEAtbGfngujJoRupVvh1bcwFQmHagfNZP5Vz1qB2uGqcT1sWvgxS/jfmRG
ROPlafI7YmrLbTdkJCCKmnL35jhJPrIe7rOizT+FonzNGHVjIz10jfXOYOUqrpwDx9rHoU3uba99
QD7NcfaEgJxixoHe50xIeHZ0OCx0FRJ4OIGBvyo5MZHQHRl0ZMdkKV+n3Lz384iaKA7CelWLICX7
aw3JtpTyYkN5S1zv2z+3qt+9LtxT//pscv0m3/63B1Pp2X+eSoCuO7qFwZFjiYUy+O84HBBM1EIu
UygDSjTmwvTHqcT7TXHdTc9FO1J8OX7qj2OJ9xtpAJ//YtoYYQTo97/hwTTFj9duPJgM2cgJKByZ
DwLiZw9mU7cFxmRjuUjZ8mkxOkpvfWzh0p4/6Wm9C2PvizVS+Qrs6DMsIuK5E5GuyTq2dpjTKqx9
UkE4Yc9ne2GIYzPSpoqgI/WVXJwk386hdyPyiGZIvTeItYldNvnn0bRPVVHtvMjf96lxwd5POSdJ
J1qiKKPsnPHesat+25n6u+aU0HPJ82SDFZ1dVdiuwaVdeTUmOYOQFGnkXUGdubDBZUvDe3SledMa
+cX2GZz1RPcY9A35I7mYXTiRV5pt/zZPI3rpsqC0FW/HxnkS5ZVYz531PlZRel6WXuLD5XFme9gt
WgPOu6cy29H3hQbLJJr0Zh3SBrHpfPp/mXLLq57Kko0hx3LVG66/zuIaeJcNUSX/HJH2Ug0VJLbb
XV83TLLIfO1YeKatK+JtNWLGK8vNhKUvwJ23bqxcPxhzdTQFdZ+6RsIJA2PgASuhrds9jVlVBf7o
3Nd64sBDbLpAAy8FabGxLiTzDuXYC8hkNJvarZ0fOFFeO8AgzbLsgrYLXyl8e0jpcj8kmrm35vAd
CatcFQwjPd8hcmSnI5IoMXrNsvZVHFJJlhXigXWfWfJkH4qynNZWJO8I5u7xwrhBbGNtiLh6BlXS
hmhEA4XrgtuVTInnlW2/WWLIOnUILJle9S+Qqhjb1pyzIMsYd36te0x/MziRHrspONC11umsxaPw
MyLQRoFpJiwPTq/ZQG6olR01LztIz15PrkV5nmWZK/pX011Hk3K9b9qoCu+90dOudCf+GmmVpH4w
868WGbM3582hqaOHVuBfFx2oHU12QdE5mzbu7c3gEewYyupYes25bYtv1YRP11rGo5iGZ9mytcAQ
euyNGsyZ6ZvBEMrnofXExm2XU19i4y2EahRPb5fOG4IKA3432ueSiN4cao/dqIuATvk98gJ/dWRd
3Dba9XQV2UlKmM7KqpWftbvUNU65g0tM+N0rhZKXQWSf/ClmFwEhEBm1vRuIh3Arr5NNk1btNonL
N19k5ziiZySP4g13onOZE6dTjUCjq31NwuQT7Y1UM2lRvEoN8dVM5COXk7VGGn/V4Nt7GxqbimTt
ZbBUrXdHN+AEKwGPdnbrZNYr4vmx1d2v7tIeZ1teL7oFmGeh7aeysTZXxrlsil0uasrJYfaYMHWa
BhyqZsR3QyTomU/mV8N9yLSNNXtHmSRbfyBKSaYOJr7UHpIBzEOX5bfY5rSA1MeL1DrYEH0YwFS6
iblCBAT9CHiE64Iac01z9ovy0KHBYKZpmP82GZyp2D+7vs/umV3AKAW9xbtuMB0f3CnaZcXyClW/
25KvCRxvzzEzXeVaGgXdUJ/6cTlgff6McQrytK6vvWL0VzJJ77vc/uw3uCD6CR9tWbuPkdYBxilC
vsS0+K5MEP5FzVq48peczFPJVvz7xPEfNUBtkX+9457fmy/vX3+x5/JTf+65uETV5oh4+Ue4Qbks
/vu/NLTE3wyLvZX4t8v05TtrKQjpn9mcf+65Kp0ukDZJ7gCMULVrf2PPNT7G2z9IAR4iKHsuSy6z
b+tn84CpGXi66iy76MLqmis2KSmCZCgs7cmrMheYsQO6JOD6W9/qqu3dKLj6F/vpcOB6sCtLCuiV
la7zHnGnsaUkw4NuWg1LU17Fz2GEj8LpyoydC9tT0YYX6L/p2oaBv5eGnQcJrUVVNl8mDdiZ7xpv
IYI84LLsKMVyUzqwm9yweZy0cidt/HK9Nz0uYvzqSPdOmhW/wFzkPpps+Mtetbda/xaVk1wG9+Yi
LfDC6cLZyLHLPoX0gWuWCYlEzF2QTfrFq8LbsWCNc+Za7CMkVdyu3n5wuOEXGdXwjvFiSZUTruae
Ogzw1VVVDxuGoulemkW+8RvXg7gROnzH4ueearp1actsF2WAHhaFfDAV/KH/4ECMCgkB4BgrT/1B
iqBjbkbX1fJ9HAu5yRRSolVwCbgA0Z2rgBOOQk9UCkJBaZJ9SRCQgkgHUTHDqqgVtCJW+IpSgSyc
2u12jYJbxB+ci0EhLwzYF6GCYJQf8fS4GVYIBhg/P2gZqQJnEP02j55scLAU/szaD2SnTq4slxPG
gZWfshkDKt8wu5n+Wa9Na9330ACotTnHpC370CP0ojSBUk9XVrRshV3cWqkPsg9QJUtQk73nVf9U
t9mpEiJaA0rc5V2WBeR+zqQZ6S4x+CAVyDGw76a4vJJG82Jo2SkdyTDWBjBVanE2nToByvoGgto1
knDfBXHnZjd2OnM9NE1yZteFHafLmaaLciWycZNJeqdMawhx58aHvkAVn0LcU4SwwQ8s0ZdlYnwU
CmKJ0sfpWSmYi+2X5BMa+wsO2kaRZLKAuol2bcbTpifx6RYkcqZu4oRW2vj9hjSYZ7bOEHQ1x8Vi
7Qm72msRCjtN8Jsp4V+m/N4Yy5iLESTIhA08zfZBFSwWhLk4GdZiEuhxo9hkjZ3gScvaKyG6IzU2
nElsLLiJ0oMEwpCjFKIQqWhUtV6+Uo/CsnU5EzF+V9oSTnafHKv7XoTRV7STPODbFXRKkUqVNKU0
qnnA1KtUq17pV5VSsjBe+VuPj75QKlcpmi5ah4gS6FIfENIkdavsqlRy2D83to8bm6p+++v94z5+
a7tf3NnUT/25f1DcorjPfK1t7AjKO/Tn/mFynWPdZlD5B6fkj2iC/hudLkTmVHhOeB+w6H/d2WjX
Qr8xHXVrE1gcUJn/xv5hf8xaf9g/QKXwWxi3q5iC57P1fT/uNdSDy5xxryBVxVelp7fYGh8RcTlj
1tpFxvhC2iU5ZzmJ42bmYDNHnH0XHY1u8t6rPjmzQT5YGVJpqdO9PJt4ANuIXJln7r283zpdCHtQ
34Py3RTcd+i7LdaY1V5auwucBGAKMC1aiuq32AV/0vXvuEI3o29usKgDftQloSzrC3PEXTT7sIzb
CuteUvT7VDb7xvePLWmCyrC3i8HhDT8raKfh5FAV7Y7D9WjEPVxGK6G+2njLSY8aQjzHAtugG0JD
k3Ux7xo9B9Vhe/HKctore+qGrRfKY2doe9/E1hin9+GAcxCpayQSMEG6xhrRenILBknsC/64IyYb
I1i8kdhQSQMZ6auLb+ZfaTeRu9mg9CqJuC9qc/jQ5BUhJND7ohxxXbbpOQPOuU4iI9tQuJdD0HRp
y56qmVyWtyECTv68gwKLCaizG43qynLNbnkbc3BclZ5/xbiPrIjdnQlePNRxjz92uk2mRNv0C1vU
DORTLB7+Xsj+mlHeskQXK8vzX9JUv5tbSWoqrFhLoMYGs2M+LEXyAoZ2PeYI6KhkCJFJcsJRdkxr
8Y0AvrNPlwmdLOnnTdw6TA1D87bv4qc45e+PONszt2Ss50hrD2ubg0VpWiii/XuVZgcNgtgYcQdK
CHDMne6QjeRxxNSSp/ZL8pYcPebibmq4QlYU06wWs99FkQsurMTC3s0+EnnKz+UEvNd6kVk7ODyX
qvKeAO7wvrdcC/SpZr2VL3qfnCi9ODWJnxy0SGfDd4jtWUZJg2k7c6zRTFbWTkJvqUBr+qea4SRG
0BZabZtcEyV54fwEYTdnk+yTZj1Z0CbJ66/GAY1bz4d9rYsbwwAXa4+qPpXq16g/tKX81GvDrmpL
FLVqy/jDB2WeAMZrBx9g8MhcOY8F+83wvNTJezsYgZZOO0IrM70M8NxKB9rqzLOa3ZuqHjn2+MO9
l+VboKX1ct0N51BLtrPwD9FUXnS7vDGGcJ/by0XrHX89ULBoqGBrj3e1r+JlbSxNvnJIX/IBBezq
aOS2ay72VckvLQtbBh7cgmC0eoz7YvhG7Jv2xsIkUi/VVzVrP0+psx6JHbjp1B8qWsuCsPcxWpf2
IdZre70gCzcohmay8kp/2mnaRJh2MjFnY/Xe+ppnkimki2eKu6uK/rNtMVhfe7uzSElkXytzeGZg
/oXxTrqpWpTUyBxvaGFSrFEq4ObO6TYsR4MZ2H1pNEeySd2RtYdBgyddKIV1TflJ0R3sskidrdlL
x/7EXZe2p9hqKH6yZsl3qS7pOnEnmqG8HgVm45WaNVEVh5a2tzx9pknKxPh8jZA99/e/N1CNfqOZ
x37qIZPbjEuem8UyhkvWyX0VEU2V6Zxv6Lu0tkliR6taLG96E921zKyCLpuuLKvst43WTDtPc442
+/8aFCRBq9z5UldVi73Z4TqeWs8ZFsAg5miC7LE4V2bFhzkriUPwz8Gj29WrDK03pkjGuvNS+j2W
+lvnxwO1I5VYWSWHegE8Cr9zMwVEF84zSZQp8dNtJrUzLZu3WtgfC696HZIRRd4k2guUuNWxMESS
g31rTlfxfLDFyM3TlW9JVt05as7YGXa8oUiArGk33gsjvQ5b/6SlM7kj49uiC35LZH/LhuKRSfha
W67gGqRry242YdTcZRNLj4ipA5vWE7OF2D0LGLtrf6oUafIQo29z3qGatEaBRoQprh03W8Bz+OSk
NZJx7Jjr0bUXpv/9eRHzEQZOGPAqyL1b1ggeFWQ4zoys7ZZcu37ibpYGUnMZag9dtl7s6MloOIt5
Vgq7RuM642X+yIODHfQzf28uPoVPE4E3k0qdYAQXdCkmSWisGk/SA7jrefDHI929EPQ4g9Msggk5
xacwlSYokqPdm+OP8OGH7H4ml02+lex46LOBMAL5FPa4UnugIHS/XqVaxt/YL8997cdbvnVgzLul
WuFWodag6t5b3//EAr0VUOWzIiagEZl7M60+1QPKVuJOASLIgbT5zeDJO9+uPidsdCti99cW508K
jsJgKK1wFy56E9iiOUT0mrHqjtGK2TJdPFl28G0oI0NUBqln1LvWpt6VcN0lS/obTiLb0ugeh0Lf
Ey7iYN0T85t7a9pkohg2QvfqtQ88eaeB8Q5cgtRgNgbaXQhbOAbIUholfXIr+UXAXFp5bnfVlwhg
teNfue30KWf0tpkrNkGWrK2WLNFOG/VjXvpOAJ+dui6+aXQ8GjeOjoCktRL3fim4xxp0jFEgAUfQ
rEN6FMyDZSU3QNQeNVFFW630ECGTkAXOHvdLYfCVIKhk0GRNfa5ZrJ1q+lJW0ZNp15e2dL8slkkL
ndjK1nmusoj+F+msO9TgsJDPovL2XIzvR884mqkWmAZ8M5HH5DTGN5Xd7F16FTNKyPvkdtHdeuV3
4r601CJOMwVrfRz8c+z+OHYbWCf++th9rsruvXmffyHc8HN/Hrw5KOvYaCjiwzMLlPe7g7f+mw/v
CO+U4/yrMfGPYQkWDk7rao7xo4Hjo2Dax/KBI8TB8Pm3Tt2uzYXgJwMHnmtqcz1EIIYy1k8GjkLm
FikJmNuFuQxbKULA8cJ9cblsVm7/ZHTOp2y5DdXmXesbg7bkvos+MSCHo6aQrpLgTk2zMuxQWpbN
MftUqNpl2OzpbqaJmYB6B2AnOkg6mkVU0pzVV8SMm5AthQu1IfRXFH75WVclzyajh02qip+XON2P
SePsWaivaK1PVqkZPxUkv5gXvCykw3LpNYC86zfcb7eAz94YZj9PA4coEoJnmOwVZP4MHGed0tXC
wJYZ4fA0C+816WRyLKUeYhAAMidk+inr81cB75BZfnQI6Q4kpbvsl9p4Hdri2i8bzqLuPU6TjN7F
2gf8xiDhUx8nL16i7UdRPbWNFl25IHb8FqBPOVzrqaCudr6e5uRaQWvrueGuncRfK7CkUQf4qXbG
a1/xWavEOFjVltz0Kp6JFhr3UX1uSFB22Qv+DM6OkvE8R10kqGGdW+TeOHxz+U8Nsl0Wg2a7bdGa
/FIZJMgxaSenqMZ91UGKCJN+M1bpHUvJyRHoXha4m2DI831d5V8bkkfrzmiRFBqxayC0B1S53DAP
oWoAy58Ih3IXl2QoE2LGecnj5ezINrcq320+i2VO1gwbTrG3rCsyU5MTcrDsmeR0ySWX/nUhrbWT
UpBYzelpjKBZWe6aLRM3o0UiMxc2VgRFfo1IWXKUHXR6dixgJm7bBknCECBx4WjMiU98t1hu/M59
I7nL1kFlF5CmIFTmHgOXx6jsPi6+Hwf/z6yMQFad3pXKGhTzzml4hWw8Q7UyD+HT9k61plPMXJ0l
/iKa6R5j/EZSGY90ZUFalBmpUrakWRmUwD8dmElU6wHvEidvCWMKO1OCrylUBqdsmPY0g1bbJjK5
JMwO5p3qYBpJynZAMJYBNeD8i4UhJmNwbes50VAypnIg1T0z3E4Zcud6ApdihKzJ9JsA+RXNBifB
WNxQ8/GcQbnHwDxto4MfRzuGrRygGamPjNZlr30i03QQJfhLRu+V4xwyEV3g676WjOadrOZFXcaT
xdDe7Ktzr6b4BCNvc5oJqAemvsdZl4z7pV8ddOUexwZA1vMqsvAFNLN5lBgFRgwDQjkH+oVBYdQ9
j8pT0FrLNsFkIJXbYMZ20GA/sBN5xFsBmmPGAKocCilWBQvLQiRdEq8DaXgGTuTr79uqfYowOYRT
eu4xPcTRfFeKHCY0X/osj9mzkqcIm4QdVVxxEw+LS7lzlJMicbuzqbwVyBQohdGB4fRtodwXkaiD
GDvG4ItnofwZnsjztY9lY4ztU99wcFqUmwN79jOy5d7th0Bi9zCmhe4oDCBm7rwuGEJGDb0Qg0iO
UaSkQK5VxpE2Ag6HVriAJ04+zCXuh9HEUJ6T/MN+4iknyqw8KZpypzROfvSxq8B+PkzKv6JxiY3j
+GJhbAmVw4UE5BmAGjFFZX5RLhitya81bDF15V83yifjjdO2UM6ZBAsNw+fThKXGxDyjK4uNegth
E32WmG+o396YmHH0SHuaMOfQpHUtsokWBrfaNNh3DOXjSZSjh1qjda08Po1ub0vl+qm94lViA5r9
gooljEEZBqGslOO6xTJErPmqxkIUYyWie+eWHhI9MKwHN6LzIVk+p7l7D9YoOpXKjSSwJcmiPGvK
pxQyO7MwLunS2bkYmSzlaIIoaQHjxOWUYXcyjOg9U/4nwkbiOGOJAoSPmUeXuKSwS7nKN8WHQoKI
x0vlRGLfYq5qMVnVmK1mTFch5isGatFqwo5VjsmO5/wQzflTB+L1MFk3WUbeFB+XkTrc4YtpZ1vV
ZcTplSjLl+cMew0PWLd4B6o1bpdcx/zj89LoF02ZxmLcY0Nv3GfKTiaQuNdeo2RtfbyVpnNuP9xn
iKw40XplSrM//GnE945GCV2wUOa1uHborIWwAGeQb+fCVd+dV44CNiEB75tp3rlR6d8AK/egAIB2
WrQE7qrCPUUD1PChLz4PnOYth1YMdhhACxQDrKWhRFqwaVW3D6EWcbXh1l0N/nCV5iDnam3+Vja0
f/MtXmVzmQVmCpAKddjb2Hn+NFSRsRYKW+XGULL1uIVkw+21CJoiOjHjgWxV691zqrucgamy0Jik
jPZtCzCX+PCCej3mlgeTqqD4W44LvFpdO8HouBpkcmN42daa0o1rLI9FHd5FNUXyNeRh1ywDI/f6
Dffn5xAbpQrpbhod4uiQTVyV4YGbXfd5AFCoZ94L7svzMAKMAFtX9MO2w96ZmO0DafF57bnxGyvr
ozCbPYSTi7Cnd4hXx2LhZfJj8sSJWQWtZj7TP3R0k+IMLckMHLfAIkhQWZKy7tmiYfMQcm9CrBw2
LUDVHRhe6k6K5SAj52RPyV5vIFllgJL8cWVXIlsnLu2fTmre+mNx3yGmDRVUV3wFD5DvShSe7CiS
Eae9dvYtPeAohK2wPnShv9Oy+BC59TGSHb1oJhcP/aoBYAzObJt58kuYUledRbdTyEmBAfVmCbG5
UwJg1917gVqkYT3AIoIRrj/2fv7FMQXaoF8eKpHcNWiSjpEEvpUCoC2cfTyJ+zbT1B1G0wKsoasZ
s+VCiwEs1bWvij57v912KeaQ3ngmx0TJlj5tbQ14CPMmjhYYxkv64OY8e87NnnESUgMtJhs/I+oE
puygwXimFXkHM+lGDHjLs05/mEeGWal8qnRHwHSgQEYbkq9hUw3BlI49wxnzerTFdRiZr5PAvEBm
ZmNxr0uRzfCl+NsoCo9DtrzL2b7upM4zBpqG0MqHJapGm5syxNp4lvomnB3vUunVVWn1myr3HIpg
xS006lPekQTQInPbttBOQjumYKEl+RzPzos9ghTxWWkIiE+nafLgOozV02Qvt1JzXgwjDWljq5/R
bgecpf02awdU55Zn7YX63ldLTw19Yqj8eB81OQVKMjtLxkJZpKGIoRVJGq/WBmSIdd0U35ij0WU9
o6Za/L85gyE51PdRMskdhdOH0QULgSB9Whq1a9vW86TzRUsZCq2bCUhDPVvXepZcUxMQWKmFsy5e
2pMk+I8KZT4hTEVXYxPe+m3+AszF2quvu0MrL85idnMCZOaLF1OgIK1bfZySk29iFdHlIZLiwYg4
0VQ2COcR7VNUa1FkpzoSXDTBskV28Q0JGD+0aWwi03vIuuoq6dJjNjicM0c6qo3uedbrO39CEyml
e53q0XVB+wRkzvkI7/Gxzv0XazLvCFdXR9uEvdVTBLvFuPWyFP7Bb6lzpJm23JUDv1ir9W2FuZMi
AmvYoyBC/gEklAaRVQjzftJTg2tE02jWxstnywAebDraxtCTcEl/v/r+ZSSbi913FyhFFMRPj/8G
cCBYQQJ+/Pfv4pBGIsRkGGVySSW5rvLcUpboW/ffXSsxWAIeKr9vZf3Rz/bHg+C4IyTEEMdVt7jv
HiQLp8bU2jZBgD1oJUEXxAfroRt/n5795XPhJvq/n4vL7N4SWPuEp/6M7x4mFND4GgDMl9z4Nlaf
NPP/4Av84ve7OASEQfUrL9fPr1XrzxRdOkV+KUc+aHsvZKT15+37Fy/Tr34/aTteIV4ohc368e+P
3DJcUFCKi8e9w76x/1Ur+5evz0/x+9/f6+9en5/ea8vJwACylF6sYqcVQUaZh7u24O2/0zr6n5/K
Lx7K5dqt0oM2ozX/p7ci9yKxjEuVXUS6RzDvxEqiPls0SwWaXP3nx1J/9r8nbx+frh/eFvUR/+5t
F3pSMGXL84s0A6B2Nveubs2aOg/b//xAv3pS37//Pz2p0oUy33u/PxDtciXNmPGWfURtxfL/+Kz9
4nsJ44yQi8fuaAJ5/vFJmXZpVGy85aU1KSF4GyZ4tF/+89P51cftu4f4+eO2QHKuIuwBl9J7S8MX
S/t/fJzpc6AVCva1jvHnx6eQ1jmDCGZkl5QV0HQxC/4/Fi9PhyGgLECG6SiT0vfvPBWPnO8dvbos
7tvoXvewTkT3f6xdv3rT+RDjv7AgouoqwfT9Y/hxAaPSW4oL+BxAXl7NTPR2oF1UrkHP/+d35BeP
BX3VgFTgMklGf/rxsWKSIaaf2uUlVnfqTaJIYhv0z4oz1t3HQ/3jVLP4Vv656K7fYPK+w8bo5uu3
4v2//+u+yt9+BUFUP/Wn4Amh1+c66XAP/Jn+bvwGYRrFE6CEqRpQvneHK1C8ir7yJrGdfpe09X4T
JlMCpU+SdlMK6t9wGlCHwqfg3+vd7+5wldsVlLmwc3+4x79b7yyvSBtGB/PF66Lmxk0Z7xL1cp+p
pzKu5jHLXihqdLdeN4gzDNRwNSxDvGaSvzy6/tjdx6LKd8uCVgOEPNy4WtdsyoRaR9hJ17kyZw6m
Hp5s229uzanj5wdP4HTCMgvSG4Spxpx8MsibtV1MpZA0sy8J0YldWuL7pB+W1K1sp9cijqOrqlaS
mdala6MUBLAgCyNIzY++gbqRm29zWLhXPbaPbUcV27HMoMI1FYS1CR4fVllxyVB7mBXjkfIdqtni
hJplxyDm45sdJmFAhYyR0pSztD5at11ZrClIjpipypd4ikIuGQPxHHmVYrvmfF5mB2Pxx6BDoL6J
9Ijyk/kq6c1ma8ny1iaZscE5ru06J1qulqg3r+JYuJvczI80ULeHpLP8taAdlmrC0toMhhHuHR2a
PGNKKk4KSayvGm6XBjOdzAEvYYxeVpptc/XxiAdG/nVq4mEYZl4drdfiu2SU4IMSXb+0UCfXsztK
2HbtVW+krwD5JxhwsBiJLKQbHT97HNVLF4QDbxjTnWadK+N7iAM+pZZkVpb4CW988WGSV3Z5Fvn0
POGg1zKs9JBWKlzK2OtHfCYZfnvHdG8Ll2RKNk07A0e+kY6dj8yDTR/y8wUv+E2Ff19ErYtLIDlQ
br3DBWbje7M3oTL9O8r+n6sgQNsy93bL4tiSEbBVWKAlNTAAg4aoSXlJpiIFmLAvLhkDGn92A5mD
lOyBJIMQqzDComIJTkiJR5huF/IKxUJhiUOCwUfcxopOpoGpsyTjQBMDl3NSD4Dk+S/kIAqj+Wyq
YISPP25ywRuSmKDQi506lGi4Kk7Rffh+6wwosSom7r9YVFMGuokivaW4+kRhqORbUSTZSXdoG1j1
M9NFPHHm2tWb6RRxCT38sxj/Pn9ih/vrxfjSvJXR+y+mT/zUH4ux7v5m6SZGIpZbS//wBv9h+9JJ
3QANMWzD8didv6/iMH9jvuTY+Ls8j9mQ/d1ibP4Ged3hf/xam4SP8bcWY0Vk+GExJvJD6IfJGI2V
ZIi9n44HtaPPyUg1DOZNihXMJc/8QO/98KhNtTiWbotzQBNz/2ql8VUSzi9epC+BdNMvVIfr3Mpt
CpacGBF7U5sipVSvlpspTbC7AwGoHqOGWuNA90VLES+KAHzLBO42S0bzZuVh8t71Imy2RmnHnHzJ
EpRINiVC9Dbu6TnaQDMAkp031rCtmxQmJZXHPsN5lmLlNcHyL3EYpfak8LbNN82LppWd8UWzkxCF
1PC/hjg4sAVTeauZREbggaLJzBRkxQ28PSRFuVTkjgThnPFWN5dTPPiK4HKyqvygR/Fh4tqKUQi3
DEIaneHtQJcrdICTtJydkNpNOjDokKF37GScBtDnS9p4Wv1UtlUTwGvPNrNDH0UjaSVy6/4yde1F
yyawnWj7FGaQfiaFvIkj14E7QDWsxAs9N98ys7tPcnFPFqywucp35Y1WZ8vZtP6HvfPqbSNp8/1X
GZz7NjqHi7PAMoqSqCzb8k1DluTOOfenP7+iJFuB43m9FLA8wHCBBd6x3SSLVU894R8imtD5gqG0
/zUL2qlV2+iIuwnKdHgPapn/A95HOFVz+klqZtNGambOoCWXkml0i9ymfWUViE2W0CmwGHcOcvSH
CYn9xIXgPVOV1D9tPew3sQhrUIygCdVLgD46mncYPFbyUE40p+GCUKFgBdJaQZm9hfMNGiDXrytH
oXlJo64cYnsBTyuYxDnICGYWIKmt/MZwG/hYikQvaZKqXjWtBuaVL47i2fua/V0BwoGjcjPhFZFi
U8q9zkVD2e/kyKnCE1X284UWd+qtP7BO8KkpfP6Nf5v4J4z2/j7+XQTtA+3N+y0hUPzDnyFQ/yRK
DygSTzjVn8BXgiNJqgpzgfgDK5Ek9nn+jlo3wZIwB4lQFxHqF1lR+wRQFg4G2/5JrvsP0tGNutnL
bJR81iQAI3ZlmqqmvRXZ89WUHmKjqesyK8hWjqUYjdGYHpJcJWCRsFA7dRpVixjcuBB8acGNC2UY
AD0NNTB+pHPj0yZDLR+pBGllGKm2bsBpzjq1So8S10kuBy3tTptez4+FHsVd7dXdoZp00aWudJiJ
ZiFz47pHUkAN4MTptrtQwhJlXgsd72++TOSmP+tEM7TtJ7oTLyNVgfMdp8Z37FOVH5IWjBdqZWJw
5sAgQBgbY2zZxkkpN4sZigwqEKKQOa4PwD5JGvdKRRXlotlozMihESE4E2/UZ6CwYc5TPsrSKFbq
qbxhIzNpYbSyEbAZNmo2qNG252Wp2B1cwBLBGyRW0L4xzRzPJCMowmspFOo4RRuhlNOrZCF0pYWC
jiHEdKIGIQldCOxgp6DOrLEmNA6Hdp0XM6CD/kxuS8c4asUVgR0Tt0UiLg55c4dIhbhPhiDVNPzc
q3A1MFBzZqj8X4BEbq0DVVxLGfdTDcv/MDdRbV0bjPZXdmEH7cUYwoYbABKhcuCzMbt14sRDKj1G
n3/LUyGO//cRQQhCHTdB9dfp96DKt2mrvEyNnE/UKAYFIvHZAa34CpijES4Q3ncw/dzA3p8DAwAc
JPxtTDYpVDm1/KtnFrP+yXYQ2KdQRRQNQcY/YjG/TYwMqmOb/6eTu2HvstGLelGllirXHiRq75TW
Pbk/mt//pI9KU/RV8iU6f7Zm8yAECumY8KVe31GJkslOHg/9CbP1Veo3zoJedlgurKRf91pvdgg+
DtVyxJNkbko5zA6lto1LFQANbsW1Y66t0nIqNJjcYt2Uko1FWaOZxdo0JQRwdfRhPPA1CqoqFXyU
jCIlP4gQaJ/Tm6cIQo5qWTJvnHcIxi5LXy/mVdaFS83MuZhb8ywkCCA5SiBsMGpcBlA5mTGUWSgt
04T+6GVajv6PBHWphfbY3bcrWZpzokTX34n5X3Ml19F38TejgXozJsiLvjivez5FgBj4KCnGROr9
r1quHPm9T00MUhIV8miltcWS1uhxR4E9sWrppPHbz0akXRVOdVkys/XS9rNpJCks7wKHtEA/Lko8
P/TimNk4yZsXAaWAJO315lFHWLRl7BNaL8NeAXSrzCx4zIbD0pBv8jAENxBbQG6y4rQMzPAA7tBx
08vffTMajvwcqXrdhVhlx8qDH2fIOzsOaEW8teBqg2HWtYQ0qTeWqeaOR8WQH7WutOyTCO9g/ECT
2ChnUNzgMucw1oN10hna3NXA2njwAsaxXLllcOEbRUwjwgDjL0WrchT+3ZWySqu+nJd+cpmV9ZGv
CfA+8uJ3QxtVtCO8biqr5qLP2ar4B8119MFQnEoR9XVXfV6sOx10l4LENvM/QO+gVpG4D41LQx8y
SBc6oIo0NcDFOioG1Xo9hVe3LsxW2EqC4IgYhmex/KCbzT2pqL0sYzM50hzU+wCNGsF5ntoJIhx6
YDAbhvFvKdKhE4XKsrLlu0jyV6MpndSKdV37krAMMyf2AAg4wjRIU47HxD5v03ThhOosLN25mDYl
Jtx1RESWdlerM5hqeDenWLnK7RdlhLmcGx6AXucbN88alC+cgbI/NGL5bOShrYJ8CBSOUQfjnUu3
agXhX+pXmT4eay5MDutz737L7PGQUbK9MGCNlJZxXYwK0IL+O1ajk6a2gcwyZzPU4cxzQwWYZ2Ri
s+PcxJ56ozGV4kJWjh0di7ROPy38A4wS/Kk/NhpT+WKBhfiV3VfXetTCvwf4Yfjemd4KUlYwIO/V
AjXKohV3KXVFq3zOJf/KtpNrKRdu893C8vIfqtUfFo502PdYZVSheViEzjI24wbsLCS2TEH8ptHr
C70LD/l+R0Yof9MafKoHLYZPltERULE6OoF/Hx30UqLeZExmv1Z2BiG6Hwb3Oqnd6KJ3LTwX+liZ
69hdTEB24eEpCYgGniUQ88APFaqE5x3H4rjNjeCk0QWZJC5bF6Of3BQnDLNl+H0Ozrp24drfRzwa
sUM3P0uVas7byjxx0W2fuzEms3SgKjYz7hrt0MRHgw1cwlONi1qGYqQVXTHz2tyeKEp4xPD+Mskj
sDkd1JE2r7xF5OhfTRO8ltnOikYaZ1ZfpYc2aKG1myOU1I95MInM7LuOYClMysHnyCHLpBtXspdH
rOMAq3PwjsMEz6shcs8ZmH5vemca4uBnh2oxcSX5UjBGNS3/VjUR5Vl40Ib1D6vsTmFUhJjVosut
dfGNGjYLEpBv2SBNGrvC1VEphCxgiC9VldqTEPhM5RqzYQimwHLmYaHeJ2bdL3Nm22Ha3rSaC/il
Bs6GaXQF8SEv+ZmjDr0L64uSVp9hNnwxlAzofR9e9vFwnDrdQV0gFCV14RcPYH7QcUT7ft26ydJL
UNiXY/OirsdTozJvet84yUJ9aust9tD0iTqGwxZY01Z3CBYysy0d3Sgz+gbtBL3k0FzCXTXgsoJz
qe1g5VVwsnwN4eHQMC8p9FjBGNqil1pXAM8Pa81E+iGQb7gJjuAO0S4I0jNgSPVBFnrQVTD00uTy
wEi0OeFmJjU9gDG+feJbxyAVD8rIO1Rq48bJWxLJbJrb0alm2Aeo7UwqitpJoka3ki3NjC44aIDQ
TXA3uZXr6JC1ngVjn04c1TnUm+G8ymU+pl4dhrJ0UBrmNxfIXgvgX6/bSxfgI2XAuKh6hxYiDruy
3v9wZYpaTOa/yXhVT1T4bY4RLwu3uErSepxFaXaAFU6Bd3UigFDaLFRVwGvBN9PNjuRSQ+FXzWr4
MrIyyXS9O5NVfOltUIjzyC6/prIP/Fy2T2UHGYEuLQqhcIAUgN8nC0zs7oIYDhxNTelrl5vsF2QZ
54NM01vTg/gesx5rpmqJD89mUNcdlOMfL/Kz/6RMdiivEGkhC9FQkn1b/mC+pSQJfIiTMAQF9Tly
vuvGn1bib95CZFovMqmBXWxGDW8hFzRirNMmP0Vs+vdfg0rxRRtrM0Pla5iyQW6Ii5OQ8Hv5Hqra
wGxzAu9UxrPFtk7HGtTIFU47v3+b16OLx7dhNI+xBy16oVX6+m28LAR1HbXeaQOgsAiRagQ5JRXX
jX4mkLNmBXjMeJyk/ltK6L9tLjz5Uca3W82OX7QXhPqCbCu0egyM2Ll3X5QRKn9EW5MOqo5M0ksx
JNqyNkMwaB76s2bDcxmBISWiDHgjU3cA+PjDMkIRjaaXDQaDMoX+BkKQBkReJrCv94yleEocl0aG
DQItRJpsKkEY54C+h/6k9p6y6nALjNHlS5OUipu08yZBs48MAc+XmsQrO7FQGg0N6XSU3LmsI+MQ
w+A+xpgkOw2D8vMg619tJ4c+WJFa2FI9b1ENfMTN1SMoYyEmmIXWee9pQKPKMcRJCiwWUCJbENUV
GOuo6LTIjOnt0seOahoZUGZSuQbhC9d9FKR3xQMVBTFhdDOSC0GMbwRFHnNcQPagoYYBdI/pVMbM
F5T6tpWvW8GxD4d5p0K6rx0dn+ENER9GPmh5f5oLkn4h6PpNGyNHs6Hwp+GdEzj2fBD0/gYjTibv
ZJAwl1axEAFAZn2epQxx8OeNjwxD6o7B9aPGiErCVC/D66BIuIViWHilF55mUg3Zaggm3Yimmtlc
UXVAF42Ka1Hd5QXahpoGLrsPigXsoQZVy7SZpVKckzPIOM3gTDaJimad5xAPoyGLF2MrLfPSOATk
8DkJ2wsnpJLg0jfQn1QOLA35niEK7ltFW3vpeDKq2BuB1YJ8GZZf4xodxSYTajX5cePbKBnJtLg9
xMKlsa+nmRCcqDJuo7wOtVmsmisAuueRi/WN1uHjpI7evNATe9FJ2V2hAt9T5epEhY+sF9IykxNU
goJTJW6ONI0bP9Gro6Jlz7hNdVYEJr5ngACnMrnXXOcmrEhgq7BZFoW2tgw/WiDOK03xtMygr6Yz
SILLMpTOoj6r1iOyGBOjJHtsbPOCW2VN/SrgzG0/1RMswlRAyjSgRzq+el0xMpTBTUD3rrwKaVzg
Jm2Yrj3d/TYUGCrFko1HnWbOjFr+rBfFt1DDK0kBzTMUtYkHtnfukWMrfTIbvf6kqJz7EgcJypqK
NazMlVcEymQ0jeO6qU6DrCok3OyteHwY+hj7pySBj5Z/jlyvwF4KcSHEhNZpI4aptXOTRfIFPA4s
LodpCTIuH70FdpmzvOqQT8FjW1aPstg/CbLssA+rEzyBztqUtBglrWYZu023Ml3jB6VNg2dUp+nL
oHGtFsplO16q5rgGW1stlRjPOS8wkB7RTN5XX+YxAqZoHM1xNTroRu2sNG4qiYQuaZzr1IGAEWJT
o5YAlWtj1fkaNMzxrBnVAxeGJhdMc06wm5QdWHlkhMi3aLC7hXumwVZgpEQhTO0CH/8Ctv/UHbzL
MWc8YpZUJn6PxZhaoiukJ1a6dDwFBi6+VgstMpc06r2DgoSEnMa3cV2KKcwbdg5kHUQlFPxxErTU
7V76aunpj6yU7xNbBfCYxZ/H1Ds2FGjtfQHjxNBgJcjChZQx9ncb/edjhphrQI+ECVk+SzLY5I1w
Me2wM9XQK8OUtHtohNNpYvYX2HLnKw0TVBLfRaHLX4fAWtuYpDrCLRV7QTTLdBxUUfj8kgpP1Qhz
1dweli1mq3JenjmYr8rInI7CjdXAljW0IHoHZnSQCcdWC+tWu3FnvDM8WUe/UtD+WfqMVGdjoeQo
nuL9WkjquucYnFnYwhrYw/bCJzYVjrEWkEdVuCEGwk3WwFaW70q+HEE+cuBE+cJ7thYutOC65sha
//CcuwChm6rWLiLWhHsAyL7wsa0xtE1qFWctHG5d4XWbC9fbVvjfdm24xJEcjLrwxh0wyQ14nC1c
cw1hFoWNro9qJWrTOOvqwmOXHxS3XbW/6FNUMZMczXHhyAud4gD0J+U2memqh+njSohLa0c+jTTI
/tY3NFqZjMPW9nrdoJmBYZpfXKr4AJvCENjzzQb5EwomB7fgSEXrTKowbTQsdLyLYu1VkAJUNcfV
qj+mdR5OJa1YNpA7jSg/oXaLVzn+xF7dX8hDNoejNpD+WkcZTsYognVX/jg0iw6X48gBxIvkyTn1
Qcg0nT7tJof7N5/Sf9+arW8xdI9vm+r9wFr8y+dpDYrXTF0EylI16W+KdOV5YE2mpfNHDHIQwRJu
F7/GNUCEEOJXmSOjbWFu/ug5nbLQ/WeYLcoME9knhE/+YFyjaa9TcNBDpFPkdMx/ENcGx/qmZ0oh
qEUlklSnDdIS4xqlOyM8UXQ5VOd1ncRnVlC0SO7FxomBvhD3650uBIdKlIdahRwDrerjQi1v4iE7
jKv0IkCrqBaiRVrorpnTr/MeVZEUXSNPA4ZfonTky92XMUwfnACbzaxVq25Kf+EcEt5CSXR40yMo
GToCM1VnWhrX4bpGValH0mVWam2qfFdpyaAy7MWLzmttZSVbWhkc0k+qkYtTJHpbcuuYxPtcC+kx
SSixTMw2X1mBlSwLyzk0IXboV5pbE2TcpAsZ5zqerx+XYVDdhJ2LCEirJSrKWUhbTesmPLKq1EQR
3DEq2OqlIcGLtEtsqlOrpXIpIWcxqjFpAQAQ/96YCXp8cfrFyg20dv1uabdQ9vLAvM3dzJ1ZXdGf
h3bcIaGQrcFKFVOVXsUEyUN8R1wZtWBtnrmoYMvuZ6kcV7UlXbSQ4dO2W2EPPWsl6rHOOHUY3kzs
3JyWsYraSHCbS9lR3MBwyepm3VhpOrGwZsQME8qbo1y0jbRivDtP3eLEFg0xrUQYvzsAfH6I3soB
fe9jz0lPErU/aTL4kEN14fjxAbyia/QxaEBhPqd4pyYi15Mizi/jfITXFMziXF52RnVR1nD7+24V
mvqXRDR/HfvWsavDGB7E1E5A1IfOjxSdZT02TzS4EchdLPV8xLW0grNSnTlRfVNWNKEgquSSggK3
fzJmQKBJGrE/P8EK9qDq1S9jl61bSAQ6Asv8luhDoH/h+yehi1K35hwBnF40dX0YGuEyN+VvqhEu
7KBe51r93csw1BM/vWehr1Myck+UpW32x0pb1Qz35ZNG9UmZwpMS8h3S0NN6lK4NX1vFofiFG1i4
UbKqUMK0sS103OIB/3G0AOIvCOxcZ7KP1LG0cHPjmKnMQm0SlE5auI2Dctzp9EP5EPi+KnRDlGO3
HQ8Bf05Lvz72LAWafn/U9f4qqxAhpqv7UFrqRev0F+UQORPXa41zy2B0YHb+ienq68FQwaLGQEWS
KC78SaBmGrrkLetl9MWpTDLXKWypxtFXscjzoOkClyL1G0gBMXOc6Yl2bJEa9iJH7KEfQaa1Zhrp
I8JYbD/yyTx3l0hLDgtJc7+hc7LuRO5pJ81VRDKqSaB5I5GfqiJTVTY5q8heJR+JjLyV0rnqK2tX
1y90ketCH0QVRuS/beichSTElY5kvsiQcz+SuAnhUhS9sq5Jo0k2pwZptdwhTcru4NdSQfs5Ivl2
fXIp0nH020qgsdVRTKIOsepYI3FXSOATszjJRUbfFckdcxN+jFGaIS2JRLjI/wMKASO2V5moDBjD
YIMsqgVX1A0SxKxMVBKqb5CPUlwkAZ3iiHIjUbOvtag/kDttp1IynjSUJj0liilqFckmtczp//eB
T55HQWNS2DBeOpQM78CWmnjBiDRHmqdbU4MPk1bURTT/86kjaiVVVE0o1RSLsBmOM1FRmVpwGlFi
tWZjTn2/v/JMJGt9ECIp5VhLiw85X2Xqi0oNrjpyv9RujqjidFHPjaKyo3sc/Xv3KxughkHX4e/H
slcP/m1y+/7eF//q572PPhloMnBo4vrfzCJ/3vtCnwwssTA+VDf432eYBiJk5AncxdzHXPGGgH08
3/sOg1rh5wOwTICGGRz/wb1vKKK19qqNgt2ioYj3coCKkoW8bqOkMXwTeI32aev4UTULNawnDPkg
TFPpsIm9uVLroLSEoInbNqu+G5RJhg/NXGmdw9rAgBQ+rbLwwuHKljJS0zBBjkMJ4gmMmHnY5Hee
2isUk3XTk/OaWSPNNKn5XBGsL4YEt0ezNN1jfCwpx3trZhYq6gtWW67x5mhQHlZ97AOU77Vb/ZCR
YTxAsPkEyp/gw2dVNEeh5mJQ+nNUUczzAgcNCv7OnslxihK+bSbCKZ3ku0EybXByhyoomdt9hPdF
Ix0oeELPQ/weoPYH90qq9s2sauk51BzWAxMdSlEi4kKg4c0dualy6qpoT/dNyn9Dyf/AUmJlAiv5
fAxiDGctmtUIqIHGoicsAB8ATrVuHVsQLTMfE1b1oC4J50BNb+tYw27bc3Ou6NZAZQXzXCgqJEBH
rSQj7G1q2AckxbAcxfEumxIVJeRfSvAyc9mWrvOxQrmhJFTK9sooxjOousNMM50vFPt3WZmdFMyO
JqXiHzKQP8Pv6MprgYd1XTlrI+dHmesruXHWZDIVuDvJnCqpblFFZ1/DLj400+CmD2vGoI70o/ds
5HhrhKHj9puBzVeeWsVK0SlXwhQ+NzlRNmlj0ivN9/zjAOgjrZ0qwJcoO7OH8DP9igQkDyKS4Gv6
OUhxgnKGPNhYVSh4Vjdcu2hsq9k88gJo9V5AEysuPmeaAyZPpmDubdNDkqG/giHHQFlFnCpo5XqO
4VI7NWO4m57enOVCzUoWula4/6KEWX8FY3yfeKm+cDXlPhdaWMzC68PUVUkI0cli3tIuTKGdNRZQ
yyO267KBLMYUW4hsBUJvK9e1lSQUuDww9lPNzjgIyHMNyHTpUfVdE7pdjttZcyWsUIA1qx9ghbGM
l4dkytnPp7nQ/gogRZs+OhIWknpoL3FGcN2OIVOiGuYqxZQUF5IxmiQemhcz3+5PNaTGVCTHfKTH
zMheSUiRNeqK/ovbrR2eWen1ZV6gWmYiXxYl5hfLSU7RlYvpioTDzEXqLMIgQxbSZ2n91RJaaFkP
Pj4Lc2deWU45zXCNmtRhusiifE3Df1lJyTUyAKuo8I7rJE8OFGTXAsa1KjJsegMh3BLKbGWPe3is
krXI8Y2PipthIiNnyp21CgvrWHWSkwDFt1hIv9E/VWnARSOQcPoFno9EHDpxwapBNU5FPY6S+iZW
ejIdrveJicKcbhlfGryd1QTpOQRPnFkv5OigdxszXE+BmQqxOqmpl7AjGVWZYz+VoDx0pvtlFBJ3
RY7UIj4khB7+HfpB+BVjPp6jjueO5UMh5PLUMRZ9UhUJF6T0YMhGE4dlnbbo7Kno7dWdBu5TSPCh
d63Pohbllgh9PgOJAx29vsD3LUZ6NF1iyPIymn6jqV25KOtNSyH3V9SxNGFefwEg5gYpA6G0lp6r
QiRQQS3QdBrI+Ex8i9R252oF+osOmIvCYOtXa3kjOZjbh4EQIXSt5DyGR9tbgXToo1MYCMFCue4P
TRQMIcwPE1rgxhR6VTw1U8CxsZA8HGV/zdgbq3Mw7DN0F354o3uFkRpJi0KLQxPiib0f3pe5cepl
ClNOIbDIrEadpiaiix3E3oMaHUZLKEWNxXg+0NadS0KsMXK8y14L5o3K7B81R8dJWugS5SEIbAQo
FN+bFkL8UetMvOHNzFi4yfA1QSGy9uTbAr1eCAOIR9qoSJpNcq2iKjliNwN4FbBFqy9KEARtZh8F
6FCGlVsfQB2Mpt1ITQfZczlYyt2IeqXhEbN7aiUTXctCKR8QI1zX6F2O6OJZQgCzGpopMO2bDPAG
8IgIBQWG5pF8YKGdKXs1hvFsAtAARO58YgVIkxlCcLMfrKscBc5RNx6imkAZaGY2b2OBmBiQCGau
SX4JRrpyTkvo0UsVbc+YfQuchQrWEppUrYoUMJyZ0mhb5nQjKJnBu+XuLOdZ4DcTyadzA1zLPLVt
GrcS/YBlWZVfg0i5NNIGReXRuUaV4CaMkBIsiQuTCuFOpGRyhQiioMppf9dcu1+WTrng830vQ1A7
qZ3dVy4ltBOirpP6GkVTFBp4QxRn3HlgV/izLvePaqjSE6yEpxpV49xJmntX8DZkq7hHmvk0DB3s
piSXxlvrrhG4aFAwHvyFk1EIIvKrT9ywAWtRE8Fc2zjxQV5QKAQIdAbZImu8g8GAk2IRJyWXclhK
L4ds9AE9hd8iK78D6I6kXpIsXRf8QDjwG7jtpWLkCs1yvMAxql/ltc9VnDLngFptMToZMcCRlOqU
wcrMG5IfkRxl1JXdaW+5MUZv3rGsBQmGePkPW0qRtdOdmw5z+rlUJLThUvM28pnG58yHZcbe5yW6
KETzynHXeusv/YB0eRrT5VgxEHeKkyxGrNuclIEMyj2kFTKij+EU/vH/Lz20pzafIMbNN7y48+ah
HC4eqiauq+cEU/zpWRak9VX2P/tLv3/QEyPvashh5N3eY/OMF1pdBnc1SekjW291/3//z2NmLhgX
rzLzzQfbfOrfPie+hfXX3PMOmv4Jjze4GRp4SPFiuB1nqff0x5ICjBobGESF6ZXxVi+W6O8W4fff
73E1f/93/v6zv1wCOHaPn+mR4/3zd/mHr8/3+/Xt+XIUJWikgREXL0qM19/e+YTEJAoAjFY3r31Y
hC0bQaDbd9sIuvLJAn1gqUBmNy9qpFdLoerMu9Gr2zCJ//d3wrtFEAz+XRcBSwXavjY1oBD04/Vu
ERj606NmEfZ0Iyhv+/R/HhFQJzRB7KiWsf1M0MSHVQ7CQbTv93Aj8LHh6+x2GjRmDuIgQGR+3Ags
6+vToIrJg23QzNjTRXgnb/k/2QnMauivYJu8eb29G5jZMI6hqbO3x0He/YJ0CHsOkCzo65sXJ//t
TpC5QZlBPe66/+Ub8l1cFB/7A44DxrIGayCiLK+3x0GhIcfLgDS6r8dh98Co0XRkLijMeLYvArcH
3gcgBUkj9jMwPl5bf5YwiQ3/K2NyPtEoRU/273YCMUHwjRVUTfZ0EZTdY4L5CRsL8gCdFHTzehMT
OA7MuIWyCwnEfu6Ex19nl51g09MXKiA26/k6IsoEA1R5OAqbiLmvG8H4iDSB+1GnPuJRr9eAdJoq
HKGUff32otLbOUlCxlpVOAp/czXKn2CfcXkKBZm9PAb67gGRdNnSwYDAJd683l6NmKZyRiAOCp2v
vVwEgTTfeSdgFmvCmH5cA1GJvT4OhARHXJ6Gud8hYfe7gTIZFJGGJsf2/cDdQGjETk6gi/ZzP+ye
KuE/qCmmYShPbZO3+0HkixBgDVvZ16TZ2PmCZH5tkSagjvYUGbY0E8TNAadkb++I3Tsq5IsYWyqw
gN6GBCpoSEEWnYY9PQeC6LNjXITugQYPCfPfJIoC9Sgj0of6554ugqCc7LYI4hwgtaHr77cAzWdI
MDjpPPUc93QNnnboLskyFYMmoxXzlBJvazSrjsCdCiXIvbwVlJ0DoqaSBOAryIzxMV98209SjE8Q
rbg1KCvEa1/DovIRWSNwJyIjxcPj6010FPpdqA+jHbOvWYK+c2Bg9oQABoAwxi/bF4EyGhULxMie
btB9PRq7XxTGJxRNRVflcedviw+iIQ1jcF87CtruVYT1ySFbQsyJOCleb+MDt6WKkhxH5rEXu7fx
YffGgvOJWRu6qDRRNi/RhHs5lqWqRFBVwVR1bxOH3XNH9oMl1IWR79q8tpTWoEJFANnXIKk8/jo7
ZA4CBUvbXegYPb7eHQqaLPyxIM/saXh8Sml2WATmshjPOzpH/3EROPmvj4MgFqmKguDRni7CUyd4
l0VAts5QkVB+7jq/PQ7kDPDRacoSN8RrX8Ojtnv6ZH8ygIQzgJUfI8O70pq6yhH/x526z0uh7p5E
bcQGaDPgof38VV8dDVotjgm6XuUy2bz29ICI6nC3QpOhvQoJUGfs8rgU70Il6A0iJTS/fW05PA3N
dokSDsK//M4WMutb94OqMdC2kGgX4Ja9rDTV3Zuw7ARm0RjbP275dzge0YSlKS+8Nvd1EXYPktYn
Tca/5ucqvL0vAPLgMO1wXex3kHwCVuxwKAS4TcM1Btbx04Z4mz+on0zwDQbApn3dD48fbLdFIH1y
GEs/VdME3Fc3BfuB4ovBvrK3i7B7jcnBxxeC+cwTnOfdHaGA/ALLo+/tuE7w4Ha8KJGAt2WErJ6a
De+7DYQOhrrAF/Y2PO5eXdpC0VXMJJ9qim07Ad4qllY/Y8ZeXpfG7omTyBkwIeIueMwZ3nUbAPXQ
aRCiVnsaHoVB046HgjwZTQpm2E/dyHc1hYxxgk381PZ1Zvn0wXa4I0SLHkKkQZv+zeUADwABP3tj
GLE5D/u6EXYPDJuKyrL4nR8P/ruNQBmhohDiPInM7R/iU9s9JFgM7WQZm4PnFPrNfqABSZtWOPHt
6xWhP8aqHU4DvTcArex67e/iokrbCf4MieW+HofHzugOi6AZFM2qSU7EfhCvLb03CPzomAsfvr28
Id+JF/05FB4zCR3lHANVx81ryw0pCzVIjEH2dRF2TxvJCukuMpJ4iglv7wjmM2KETfK8rzfkE8xi
l+MgWgskjYIWsXm9Ow7g/XTHNvAj2dedsHt/BVSPiUcC2N/HRXiXO8uf+ENmu6yDeD3uvf27KPXd
C0obA5qN+NjTHfFuKTYplalDmNrT/fBO3+WPwyMXJZgNFJKRwX18vc8WQAELj+PHLvXe7ofds0dq
KSxpQUU/LcWWIGmKCPJHDYb/4OT8JChPfcS7N9Rk9Cy2MZj/7i88k3Lf//kL4vGGdfvqbwqq8uOb
P9KTxf/+r9fM5Q1t+MWfPtOIN+/09O+fvuL7N3/1Zs/f6/k/HgQP5W15h9XrhrD99EEf/Uz/O8bW
9P72JWdY0KZFd/z5v22nWf8sJH//dOj7D88P+sXJFmyrX1/1PYf7P3t4cnuflc8PevFwDs7OD8df
ot72wclpdn729Ba/ZX6S6vlZLz47kXH352dxU737SblkCK4f8PC0Lm//wmWv3vYWJDU7v8XsIf7r
BB+VbetPvrDz8+fxX7OsZPM8P+vF+nPX7fz8RYlGzraHE+Z2fvgyfkjT5+e8+OAfcVwPmuR7Ft/X
7x8vEK47f/RVkj+UwW38/Khfn17gJnd/fDpsWXSBQ9z50UcP5ZY1FyOA3R8dpN6WQCAIeDs/+/g2
2nKGBJ3gAx5dVQ/b1uQjDuhxVv313zi7xg/bVuYjjuj69p4A/LwOLzbiRxzR9W0ZbFuajzii4tl5
ti26C5jEzj/r+iG9z+6CbdFLjN0/4Pnl3cP984N+rTsuuh/w8IzP/vycF8/+iGO6zrauyUecUh5d
P5QPw5ZP/hEn9eQ237LRRTNu51/z5KG9fZ87YmH/EUf0t+bOm0R2h8T0LL69e9iSO4r23M7LchY3
ybbkTsxfdn74P3m+7royl7d3JSVBWm+5SwUobecvICwqJw/CafX5Yb+OqmATfdAblOlteb81kAlB
qA95k1nw4G37Eh9xasUqLbA3vwuqu23v8RHHV7zHYXZbNNtuKwFV/5BV+mc70t23bPrX+rZ+2LZO
H3GeH52QJrfl9+1eSB9xrB/fY/obt6UPWKWauq1sxucf9te5ExTv3X9s/3ZrTShmTLs/nB7GtoRN
mNZ+wMOrKBiy5vlRLxbmQ85yFt9uyx5E83v3z05isk1aWnRtd3/4P3lW7LwpRZtlyz2sf8S5/a3q
9q6fHJcq7rAtSZsgRe+88FcNkeDh+UG/9qNgWX7Aw2kQJdv6coKFsPPjP/OEZttZNT7irN5gt/b8
IV+sy0ec05vm+5ZMWUCH/mFNtrVlf8pAvm/WPss7bvtnr3vR4m/cxQ+35X/9PwAAAP//</cx:binary>
              </cx:geoCache>
            </cx:geography>
          </cx:layoutPr>
          <cx:valueColors>
            <cx:minColor>
              <a:schemeClr val="accent5">
                <a:lumMod val="40000"/>
                <a:lumOff val="60000"/>
              </a:schemeClr>
            </cx:minColor>
            <cx:maxColor>
              <a:schemeClr val="accent5">
                <a:lumMod val="75000"/>
              </a:schemeClr>
            </cx:maxColor>
          </cx:valueColors>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series layoutId="regionMap" uniqueId="{ED5C6C6C-4ED2-42D6-B436-69CDB62B1602}">
          <cx:spPr>
            <a:ln>
              <a:solidFill>
                <a:schemeClr val="tx1">
                  <a:lumMod val="15000"/>
                  <a:lumOff val="85000"/>
                </a:schemeClr>
              </a:solidFill>
            </a:ln>
          </cx:spPr>
          <cx:dataId val="0"/>
          <cx:layoutPr>
            <cx:geography cultureLanguage="en-US" cultureRegion="IN" attribution="Powered by Bing">
              <cx:geoCache provider="{E9337A44-BEBE-4D9F-B70C-5C5E7DAFC167}">
                <cx:binary>7H1pc9s41u5fSeXzpRsbAXJqeqoGpCTvduzY6fQXlmIr3AkuALdf/x7ZTiai5B65ql23Xt2r7q4u
izrgIR/g7Dj450P/j4dstaw/9HlWNP946H//GGld/uO335qHaJUvm6M8fqhVo77roweV/6a+f48f
Vr891ssuLsLfCMLst4doWetV//Ff/4TRwpU6Vw9LHavik1nVw82qMZlu/uLazksflo95XPhxo+v4
QePfP3rLLP6u6iJefty8Rn7/eLaqiw+eMoUePn5YFTrWw+ehXP3+cWMQ8vHDb9N7bfH1IQPWtXkE
YmofUUEZshlHTx/88UOmivDlsoWxe4Sw42JKxI/bXi5zoNyXnydulo+P9app4KGe/j+h3ngCeAv/
/i9P/7B+C+u3HgIAv3+8K2K9evxwq5d61Xz8EDfq6TXVg6fWj3h3+/ROftvE7V//nHwBb2nyzS/Q
Tl/pf7u0id5/QdZTmWmW74Cte0SQSyjH9jO2MDk2sCXkCCGHcpfZm9juz9FudCf0e+A7oTgwhP1V
9uFSgfz4+0Fm+EjYTAgCi/TpA8t0E2QGs4BRwQnA/yw3nhfwm5jajfP2EHtAvU10YGjfxO2qbuLH
d0Cb0iPXQTalL9IabYlrAfJcIIKFu4n2m5jajfb2EHugvU10YGj/OwN1+Pge4lscOYg5xOH0lZVN
joggDFb2JtRv4Gg30NMB9oB5SnJwIJdx8R7r2TniLrVBQ7NnjJ2J9AbzS8DHtgWbgrwvR69hvEG/
F8QbFAeG8G20bPQ7rGKGjgA7Th0qXjXCqIOR4xC+ifD+HO1GeEK/B8ITigND+N/58lHVf78FRp0j
CkIYEQeW6KbphWDxEuJS5P7wrX41wPZnaDfAE/o9AJ5QHBjAn+sYPMHh70cY1rAA/9cWNn9VE7vg
Q2NwtTbX8BtY2o3xdIA9QJ6SHBjKt8viw6laViZ+j3CIOHIBZkYYeZbWdLqk8RFxCQNt/exTT/B+
I3O7Md81yB647yI7MOyl0e/hQ1P3yMbkKQq22woj+MiGCBnGZIL33gztRnqTfA+MNwkODN1blS0L
9feLb1DQxMbMEYI+L+qp07yOgzHXsRGbmmB7c7Qb38kT7QHwhOLAEL5Ygop+B4BBagsGchu9eMpT
LwoAtil2uHDhyq8m2N4M7cZ3k3wPeDcJDgxdyF4sIfK1bN4BYecIu5xgArGtp89WKBsdcWcd7J4u
4TcxtRvl7SH2QHqb6MDQPjb5N5U96r8f7LW57XDM2Noj3nSo2BHmmCIIij0r6s3V/BaWdkO9NcIe
SG/RHBjQnoJk2zoy8i7xEVDO6/yiS6l4xfYiR5gyxxZ4IrvfytduxHeOsgfqO+kODPlZ9sFXNURN
/v41DrAL4nKbvGhsF9IVm0sdhIDrgtVmP6c6Job3m1jbjfz2EHvAvk10YJhDFr2Im2xp3kOLiyPO
kIB494shvqXFMSSkCQNZMFnrb+NqN947xtgD8B1UB4b4HCoz3sXt4hA1w9y2oYbkh7beWOLr3IZj
wz94Un6wP0e7kZ7Q74HyhOLAEF5kq+I93C4ImxCIerrbdhrobNfBsNInqcm9OdkN7Cb5HrhuEhwY
rCd5uarjZfYO2pmA8iWOzSjeHQbF9pENK9vGkPdYfyba+S2c7UZ6a4Q9wN6iOTC8z5dNs3qHdQz+
FoMEtOO+xLzRVtAbnGu4zCCAsulw7c/RbpQn9HtgPKE4MIRPiuE9bG0OhSQERLV4KTKY2tp4HV1x
OXecidm1Lz+70d2g3gPbjd8fGLJnUEj8HhY1P4LEJBQBMftVG4vDNUhcTJbu3gztxnaTfA9wNwkO
DN3zZfoexUFQeg0aWCAoIHj6bLlL5MjFNuaOmOQt9uVnN7Yb1HtAu/H7Q0NWNR/+XYSrbPUeq5cd
IZsQ6vxYvSB+Nz0kyFyBN8wETIL1Z2Jmnb+NuVfQ3jHIPqDvIDsw7D8bKMzP36XsDxJWDnEZ1BE8
4bpVxkvQEXUIxg4BW+zXhNVbeNqN99YIe4C9RXNgSF8uy3co/VvnnV3QzaB8n1HesquhgBfMamQ7
Ezd5X352I7xBvQe6G78/MGQvlo+QkXwHD5kfQT4S4huQdH76bNUUoCPEIW/B8KQQf3+OdqM7od8D
3wnFwSFcx6V6l/1T4gjwA4SdF8d4ijEEMF3OhEPARHv6bMrqdbJ/X85ew3oywl5oT2gODO97UIfm
XZY0bJRyYDscei0TCXBDLS9GHE3c5DewtBvn6QB7wDwlOTCU18WMfrwK3yMcAsFNDMVCEOCcmtsC
ygugGN+hL9705np+E0+7gd4eYg+ot4kODOyLVfGoHuJ3SUK5R3gd9RLixQabynBCYXuk4JS6kwDJ
m5jajfb2EHugvU10YGhfrtrlu+yXA/HMiQAB/mKSbZnbkF3GsNeZuZNwyf4c7cZ5Qr8HyBOKA0P4
YlU/wIZ8729vVgCbWxF3ucNfyr+mAhzcZuZgF8Il7IdR/qvzvD9fu3Ge0O+B84TiwHBeK6Z5vSwe
4uZB/dCVf0dTCgGFAQgJyEfsjmpDPS9s0MC2QyfO1QZH+0zA3UDvHmYPvHcTHhjsFwq09T4v922t
SKCTAYTDXEhWvOyy2qr+hK2UjID4xpOg2N4M7UZ7k3wPlDcJDgxdmMLrfbC1Gf9+iClETQTDDP2A
eEuAw04M4sDan6rot3G1G+cdY+wB9g6qA0P8Qr2L5b3edWNDIfcPGT5tTLJ2pwFrF4InP3THc2OS
ffnZjfIG9R74bvz+fwGyf83ixgOv+w79+8e73aGX39orSgCijHMXv5K1AEQ5FkRgCHruiIfBloif
3a2ezbJdPO1G9VfajWd8fsS/fin/6zpCwZzUq3r1DluZQQJzwdc74V420uxwkrjNoWHBtKvIW3ja
jeHWCDuA3PgKup5t0RwY0ldgPofvUTtAoYIPqucd/lpjEeguY0NjAj5NKu/P0W6UJ/QbgO7u7Tah
ODCEr7Plw+p92k6A7lxj/CKNd6xkqPiCeDX56UT96gzvz9dunCf0e+A8oTgwnF/sxGz5LrkJiHxA
GQgUAr0W+cBH4C1jCG5NaunfyNZurHcNsgfgu8gODPVrqBB5lw2vkFqkXMD+qBdTamo9Q6gLCnLB
W6YTwPfnaDfWE/o9YJ5QHBjCX82396gfWOclMBTQg/vz9Nmq7YOWE1DX54Al9sOCf/aO9uVnN7ob
1Htgu/H7A0P2dvlQQ+++Qr9HktGBtl/Q2o3BpvSnz9b6XUe71v9A25H1B/JSv2rnt/G2G+sdY+yB
+A6qA8P98ypa5su/P7oF+yhgPwyHks5XNrxB2BoaFGBoJPNcUDLBfH++duM9od8D6wnFgeF8C3Gt
98AZ6voYdTmU9r3mQz9VGHAG1UOTVb03R7sRnjzRHghPKA4NYUhAyRU0fXsPCQ67ZmzoGwRFfj/9
p43ibGgKxRBB0Khikk4Gs/cNXL2C9PYY+6C9TXVoiMdNGg/KvIP0hkbaFFKK5Ee73ekuKZDeHLau
21DWOVnVb+DpFbSnI+yD9ZTm0JB+mst1sawf36cyCHrJQLUfFHu97K6Zxk8whLuhOBtiLBO438zY
K6DvHmcf6HdTHuAEODdx8+HqW9yU7yHhbSj4JBxKgiDh+GKDb0p42PcK+5uh7d+OKfBG1l6fA7sG
2nMS7CI9wFlwAQd7vAf+T/XdAqJqLxp+y0cDe51AUM1lE0t9reH3Zup15DeH2BPzTaLDQxuKD+Sy
/vY+YVS2rhta9wF8xUNbZzBdB3w0OBTl6bMl+t/G3qvY7xhmP/x3EB7aHIhX9bvE0KFdCUewrc55
jrjsanMAF2F6QCfQF3WwEZLZm69XUN+k3wfuTYpDw3ndzPc9EmMQWqWEQLPIl0W+VWSEj/i6IexW
HfDt3hy9gvAm/T4Ib1IcGMKfDWTD3iO5DV0PKFoH0V4vRCHuOh9mT1y1/TnajfCEfg+EJxQHhvBX
lb2HYQanoghoVgI7Yyc7dCDmAhcEhi6gm5p5X0Z2w7pBvQeoG7//vwHp6yfV/Tzsz1/q5ezpmMBf
Dqv766tPLwfONpyQviQmdhRr/dy2fPL4+0fYYEPXHZh/qSpbDzRJa7wYzj/Q2yRcwRksv3+0MIRa
ENjdnHMBvhnjMGa3+nkJ4uuY2GC2Q8vntRIv4GS1CI4yhKpx6AwLFYfrlpHQVw6oGmVeLmEkQGDA
EQ1QXgzlpz/PcbxW2RCq4ueLefn7Q2HyaxUXuvn9IwRxy+dfrbm1ERQ1wt4xBzrqwEFbAurQ4frD
8mbd4QXewv9pTGeqnA/dFVLXdchmQyL8X17KjjsAp7/cYW1+QO4XIk2QzYcumdCaafMOvBMpNcKY
q4Ylp7G4t9CVa39q2DEOrrv2ssGzv74fZCH+yx3XHP3yTKR36njEmblKSmNJZwi1K4dGkVyqUDWf
ulo5p622y0ue2oFs+JwnQzWrgj6wZzrXYpaEBf+zh7MTTjiNWjlUJfNxo6ikTnRuq+y+cEjqlTV6
bK30u9tbfxQjIIAJk0KxRCYhnOdYDJktKYmcWZ1ZuczDODxmKV80QxbPodiUzsMyVotg6Asv7uNE
itpQWYyolgGJb63O8UoT3zhte+baVEkRt+dWFQBKSSzzwCll1WmfDVQOvPsUBFknA4seK4Wv24hK
OIrrpEAmlmkSnikXS0Otu9rCoWyLP9uRXvciOm7F2MywbhaxZgtWOqdRbPcy4qqbW2XdLIJouFBG
jLdCI7eWtT00xa2qIn7Mq9JLcFEdVzyy9KexZPCFyeteXWUhO9cIi8siH+1j1ujRzw2tvqXIOee8
u7BYfl6K+KRPu4vaDS4tlF4OI/+CM5fLyrJcCQ125zWJH5iNHjNL2bPOZhd9yU4DQv02Lc910M2M
GU4GGl+jsfKKoPLjfjjvhv7cOLXy9ZgjL7S7s6ZFXypDZoypUObFeGdnfSiDfEgvY1NcF6leGKe7
TMf0FKlUyL7kSKa67mTVO4Vs2hRJNmSzJhF3lR5qmVgonJO8NCfGdHqRBaT55MTVcJ4Nyp43DjnL
8kfX6q5Y5Nw0psYSR5mWUVTPcZmfBll8bQrrtmuLeWQBLKrPZk7sSpHrRxGZUWKefCJhN3NNbmTU
Yx9aFvosGT5poyLZlK3HO7bo6naOWOBr7sgcI18pdTsW7DoPqsrr+qaVOkvbm36IbniAT+rO+E7p
/MHSwuuFXX8ukUW9JK6/F7SF2eQuaFfIcQwyyRDzcNquUBeeFYb7FcOJBxLshOQJ9yiNZ9zqJA7C
6yhuL5idHFd2vuiRPctE4Zk+OGsadVzbrWxG7duNdQnOqU866wQExafBCbUMYtRIyoJ55dJ7Vjce
gRXiVWnRycLOhuO0s7OTOivmZRwaSQfrNG3Gz03ZRXLI9GVcq9ukRX6StDCtg8T1jEOWrkmWiXAu
VJUlsk+61OuaepBB0+WeHbTO8ZOYeVFGL3LtWZI+qHKo4zB6ORT355//+qxy+PfpqNX/fLk+U/c/
fy1Wal3q0Ex/tL7Pz1/BbV7uu1YyG39sab1X9Nrzqb2vXHyT0lvHB38eu7ul9J7r3rY13lNU8YfG
g3YR0PnWBpW31qEIUko/NR7kmRxoFUM5dPKyYVfUfzSeewQNVinsmlkrCbxWaz81HvRXxtDUD60d
IYh3gAr98aAbOIG236GP6PqchF800lrnCejjCtoV+tZAETid6Lx26FqmmeiudN+mHtPpF9UON0K1
7Sxzw6scV8mDittCxgP9TDVNvJZawa0juu9WhOaE20yO1Bpl6FQzVGSwAkWYzeI6+FaHKfb6TNSy
NcUNc7NwgVwVLLo2uHDgQGc/KsU3Q+Nb3o5folxzmPraSFIyr1dRfpyK8pSWDagLESWSusV8zMgt
3MvvNDYSlnHkEzNgmTgm8YKRX+jUvYMkfSSLNHxMGueC1cEnxPqrKGyOlcClbNvhE4kQmjMH1nrC
2uueCDVzKOFSkL6TeZZ6QUhg+VcerUxyghiJZVfiYxwF+dzVqpmlsXZmZijpjKbBgqdZLRXN3eOg
ZJ9rV8t2cH1D6cyUDZJVbcdenA8nI06Yp4vIkSEa7233MVeBX5P+omnyU9HqPwwaY69Mml4yGrfS
DCCAeGsiaffDqkXqpMViLqglpIui+xDnoXQdy8ucrJKszmUYj8cJEVddLC4FC71Q1ffKsr+BcjgT
Kl1Y6ehzKryqwScmSD+RgRYytPmNA28oiEUoLVXPuyy7rJl7w2P0Le1HJHsEktlGeJSu6O5ywr4m
jntJStF5ui3YvDS4kW4vznDifLYyWnh8RPdxm2SyK5KzkQZ3ZV9fgvlxFtapK5ssWzEr+rNvrc8l
Ned91N9ol88Rt/4wVvKQuYktbXtovboMhRwz5cxIU30Xw3CLjBXLirkXANN5B+ZZVSd+wL7j0p6B
PixkZ8Z5KVTjExbfqig55omjJArFYkyELetC/UkL/pXmzdoo6ZfMdDC/cFWBTVKkstXqHLfZYwAz
0q1p7jOiFjjjp4YPx4prsHHApCER/Ww34SKMY0uOQXWNUacl6Ineh9bnkaytIfGtyDhyoGCaIDe9
TzS8pLGwEmlHjS1ZTm40L2dumR8PKK/dWaOL8jQIu/CSGHXfN1+z6oTCmvua61iqoULHUZjGctTs
TlVD9GnoavckSDOw40TTL1gbxBKZjnmmwslsMJEtY6v8biedds87XOniUxAFyQBGXVqNd62t4lTa
be80rgyDlN0WAS1TzwrpfcwSNWPY3MKevlEGA5N9wWzf7Vo/c5LEF4W7GMqu8S3sOL7u6uw0LpmY
5W2AZ2VHv6rWTmbjCMsti2BKF53moLxrL7Zt6llx7oeO2986Zc+liqKrPhofie5lXIWOH8fVHIGC
NmmOZ2OPg1nBnchPnXCeCXHZMyZ1GXsjcr7ENpgNDlit2onmXOuT2KGyRoOf9eo6i828bC3tjVZz
psqmlFarT1lUhJdZ2t+ljN/C28WLymWXTVJf95W5c1P3uKas8MKg+9Zwdq8U/SNHIpMkqLwko7ms
qnGc8y6+t6OeSTXmkQepyMsuaF1ZdLTz0ig7R924gG+JB5YsWKba/lpavJSksmY1Tb8PY3VXJuK+
rOKLrGbf6mZUHsrFFdfuKTcKjKwKjFZadVgOOrQ8FOBvqE9uHFKcA3iVdJOxkzoVd3nbdrBCqPbs
zolmlRP6fLSYD+Wlo0zSylcaFtMAS0+M8JwROWnCtpVxpG8SA1KA4FMwTs8Co89TO6s94Qots45H
MmhzV9I4z6QRTuKzHI+zINUrKxr1XLlVMtfGjWVZossicK1Zm5nhmBT4dAyDpTXk51E63lkDJRL3
w4PVVsntUPa9V3fdcdmwQuaDm/oirB46hWJp1aj0VF7cxQ4/i8ryIR6F9kKC8s99UR9bBbkTxORe
UAIamQjmg0mR7wQOiI3uRORl4AfcHJcJaIdSP7ikY7LJM5hrTW46W2YotOrTGuGhlSgLixn4ps28
CXTj/knyRouL/28RPYUBCDiYr1tEsKvn537x/0QA1jQ/IgCQfAdlKmAHIVmbN2t/9Yc9tM7R2HCk
PYPOl+DK22D0/IgArI0eCu08oB+qA1ucGCT0/hMBYBD0BccdyjveHAGgLoQZNu0haFvPuAPuKeym
gijA+vov/nIzongwtuGXIS3G8wq22ZSNVE5UMd/qw3YcQeAb0kqL8CjzHR0IdQESvDEzEyeDjLSN
sgvHxCjXkoRwj9Br0GCxWWAZlrizUBekkHQEq76XnU5M+KUzuVX6IwoZuMapsNzypGE1SE+3tXn/
ySSCSBFZKpyDs2KBV1F8IeDMepTRY10IRzZNq2XVolbWMdgBJrSaeWDQ56QgF3XBs5nKQUsO6KYY
4lpivJZcQXlWqvysqIJz3PX3Q1PGshcqgBWdL0x5kuVhIIewJDLmSeylQocy60UnYwcUhwlG8J37
8UsuXNB+rZFZSKVlmlSWfbFWeaL0u9w5rYvhkfS692PT/qF7m0ocZmd5jGw/V8N1o4ph3vGWe9y4
xgvaSntUjL2fap75aCjG2WDXtoQ2yDNkm8EHqQUundM+Wqw/y6w49Ewd1F4e4Me+L5Vn7GaeoOo4
tqvMy3F2njik9OK6vjf2kHtJ1Z03JjVeG7dkNip6azE0r4Qh8yANvNzKcxnUQXnCojSUPVOXCVE3
VdV5gSjPYj56UZ8UsnUqiUUFajb7xkAVyjpqfU2RbLPUzyJmeW0ZnrIgn9Wlw2URjBCD0H0i60yl
c2cQ1tyi+iK3RjwH6zE5R8O4wGH4xRRF4qXKjRcU3Hnf4iGEJupYMld7oMNPW9MmskL1l1ANMBNT
+2wY8K0O+xnvM7Bne3ycFslNWLTnsU39VMRGcj7Gs8AeMlkyKziu0yDyUO9eI1uJmVPRlcpwc4yh
4ZlnF+rSxoVeRDSfFzS9g4NT7/OkkqqsriwQy6AgUiIZmGiekyXzJMvvO+H4QxZJg+hXVBrli8Re
tF1226f2SRFWg+RBlMvIiWxvaJIWJjqJzsqyxj51RzBruu5LISCWkRD9pQ+6e8yaz6xJwZ6tx0UR
uVdJY3tW4khm62+9CCAQUXSdZ0Ra+lWKfeXg3Kfa3AbJmEqVYDNTQ3gSNiw8rnR1Y/j4FcyHPyu7
iUEjDwmoz7iaJS3DHkPmro0RB+ONxb7i0allqVMk3GUxOjXYjRXxiMK3rs3ncc0+g0G/sKi67lDc
yT6mtwwil74ToVzS3roMI3YRi9LyaBrP+zj7EjNRLAo8LPNw7I/TITw2bc2kFTmuV1hp4dM8U3Ot
i69JUbXwfmIFq2x0zlw0OL6L0QJ8hfo85uk87wRMUpKxGewb4xLiDvOsGa4wZqs6g8CcqqvLUgiw
DoPotM5pNuO4X6Wxe5OwWEhOy0DirB8gEjF879o8AV8IfDDwdZhHHAEBtkbjRSY65QWZueVBClMH
WqrJFFsKJkA8eBVEdTymouM07Jc80sVM86KY9dy9MHZ1gS22SnVPfQjjMFmnA0woLeajhb7XHTsL
VXw8jOprIUIy41F1ImjaeWWPz1BdtXOnt1pw5/gN6wk7CTV4N2MCogST5AKn+ekwRotBJ2dwvsGn
pA7O8iw5iXR1G0TVd927jV909fmggitulZ9LZ+0xDkMlURTyMxfkIshGBSs3ozOhTLdIUvWlUHrw
RAd2SNYE0g66etaFXHtx2927DbiiRlmwposSBo/Trz24v7Ac+3lqDJK5Q5Xn9iSfp0P0hXSrrh5y
KewknhUDO4t4/rUf4I1i19xmnSazoFX3dSJcjzbWPUQMVlGowTZLBQIH2j5BjQKzhf051uh7i2Ey
lAX/XNYAWAdVDb6dQWQSh0U1r3Jx3SbpLKQBllbYWTLL2kvbSm/gUX1wiq/GnLG5zSrHC1sLXNlM
nEPBM/UjB50YlcaeCZz+hHX2LSmDPyLhjos6i1d510DYlHW9xN1YHDdpe0cLNXpc9KPs+rp1G/n/
opX0awDIhoqjvzKQft3u/lyD8JR6eKL6aSJBAeO6dTTiEJF5Tnf8MJEI1Lmsu2DBaUsObNdfly+9
mEgMMit43ZQBrffoE/C8/mMiETgkEwaE1jsOnFbvuPgtISO8jghtZElc2OYAvck5GGIUDlSGVN6v
FpIeKWgDY/pL8HfcWdsFUQnhj0SkYCR07Sdu2cNp0rdFOkMo1V+1Yi24W01fycYtqi+/vL0dAax1
t/spN1DKCa3yoTMUWxf9bXLDiqFM3ci0l6Qq8GWYjkUAHgtIcq8HZ96VbcfMV9GWEDeoc0dXXpXU
oNqDsRHMg324xaOrNbqCMSLjkyzDd6NtOXgxcDtY4cHC/fyvOV4bv1scQxIILFY4kRryWmjCcSwi
wHbQl7S3Q/DX+jG7a+EUWzrXAgQsRI96nPixCBw5Cj7EICIQXeRtPWC/bpV+jPqmwR5497bf6FhB
dDuPwPYTtZ2Gs1Al0XVq3NO8caPGh3Xv3jdRdZZmnd3P4sbiFzFYK/nir59qGwbYkQx6kQg4zJPT
p4f+xWwWw1oQlVlzWejAvVchGNiSpQSmRlmY/hqkh3tbBjj7469vu55rv85FaAgGxwcKCueDQnCV
0DVbv9zWRn3IyiYsLgtnxJc4jcxl0UCgwQmi+7++0zROur4T+CsI8pZQWCqcyTwrCwZuex2pS6dE
bFl1qs4WgXYGItMymqHKZKNHQWkrL6F2l/+3SbOeFJsPChMFEpMMzkGFgzKnt4e+D3EUFnl8KarU
XuaJsZdptubBHvNmxmul5IAA+kWXVR2RVarESmduc9K5AzvvOa2RR7tEpV4iivyO1iVYXJEzDKvS
aksfWWMuPNtVrD62KR/Ns6CHuP3uOPP64K8p/2ItNqD8DjwrKAHYBApxYxe2HVgX2AT5Mq51E0ps
pbpgazVdhKddFKffIC5UnvdjBeEcxfrYI7gV37UYIT4yRKEA2yNpV3FNxWNrl5E4/WuImb0FMrhM
MInWJYJQHAppx00uee3EqI40vUgggxe4ENxyo3EB7gt157o1xqv7Cn1q88GGbFQUCa/GxaIhdbnI
WEm8NKvymzKz816KrAPHLsnVydBoLUu7Ku94kzp+UBWBZ1QCecsYoumgcJOmuOxKq7mqrJHOwhC7
ibTGoMg90kIU3OY6uyFJeB0OBe1lZkR1qYPqsya5RX3eEniR8UBANjAD3inqnOQ8i2zna4AMO43A
1T0fw751vQ5FLPdg0sUnlrO2VbrBGX3c2ZY/Jv1D2VT61iBLRLKDvO88aCpzwgJCPlcR7tJFICwM
8ccoDb7BbvYagkhFZf1pcpH7ZdmQk1QV5Qmu3OwxbkuIdpU0T29jN+iFbCsWnoKbZrwB3sMCM+Je
VV3ez1hXV3PwRzEkG+Cc0NBrO0gjeC2Jglne0No3pXsVBVaIfIyVPgZVQzqvQAmXjhbZH32OojNS
u+WtTbW9MG5ikXnD83HpcFXPGgiajfN2HTu0+h4tSZN135uwLG1vJBoZWYSkDee9ThQsjq6bDWFr
nHmtgsjPNM2PC/iphE7RkETlbd4KmTRJYnki6AQkt20wi5jOAo9qq8gXNQebjJkBfeooZn7c1CiT
CcwkPae6c5tFT0V/ztNxzIJPpqs0+JpDnA1F/RgFESHj16azepFH0q1BlKsHMuSJprU02hgIs+kU
Qrf9qRtX46J1jQ5O8jqOS5mQTN0iYdGTZKDUQADYzcB1r5DbA1w5hGiLIAB9CDnQrprxtAuRV2ca
B1dRhbhQ4JaILvKHPnP1OW80hRnVBQo34GOBLpxzK0qCqxaWDg+9ChKnMOFo2oCDmMW1K7MKlFcw
69uYe1YA9blg0waoYHDsbJDnXuSaLoCkgsjyWROAVTC3izAfPWe0QWIWJGXGy6PaymTbDGFz3cTg
g89UGDvfLdOKGPlIEb2ImWMcMHKDMDgtqNBgZ3tF31TjcNzAvp46mpVhJPJZ0LRjNXfrpojnQ8bz
4RhBeqX0bAKVBp7owQ1e1HEVWx7ASr5YZT6CH0p5mvvwH7KusgRZDbzyoviS5Lmbn1DI6GSzNNL8
ZjQakvGJpQg+i7qoEQXEZUikF0HdlsUtKGN6moQjSecGCgaKmdJZOM4c3I+u5yQQJ7jInQGmtgVL
pfYDjM1pTW0788OAhgbi6i3AGYsG7JNiTOi4ylLYrug7wAB4uP/D3pktWYpjXfpV+gUoY0a6abNm
OGP4HJP7DRaTCwESSAIkePp/EVERlcNf9Vte9EVbp+VNmnm4+/FzYGvvtb61WQVmpsDn8YnxrINZ
1nUqKvnA63KDnZPkntUjvW9rC58p4qrdcjG2m3f16z6G316zBC8XwkwVrM02nBseWFZ1NG5svv+7
PKCcwrRWLFKFsxye3uS49wIJZ1i9nOM+Cm+DTfKN52SJvejt2ttwvk1Hug6lpGq6SWaJI4mZrMM3
UBHh3ap5E8hnECiyuahV9O5gbLLxazCx6W3chsmnxNWizkmAi/cwS5dFlYFigRc/B60o+0h1piC2
rnjA1XNvLTqLlrXLk0lS+3nUTQRyw7K6Il3ih7kkNX5O0g+tO0i9BLebG6P4wUxJ8DaYPPwLm3qG
FFOwZq5a4OPzk3ZhaM+YS014x72Mvpe+2i/OtlXmmPWmMfdujSdS+Mris2lga4lyMCi6V5xg9H1E
fFzdAlVSl9hi6oYzZOU6vG/13HWPIZE0Pru4tfPN5Ka9+WxWd590XuqqwQr86mHYtiXHLDltRx+i
Df74/aVb1Ce8rlEEt3Ei8VfMoAvqvOmGbitot+DWGXu4Qg9SZ7jl9YyugOFrqKkhjMY7FcSrhtg4
NjAPG6vdDMmpgZ7J/Vm5g8MqqahaFxXuRQM3U4G/CAXE0WDvkycp3sNToxeycE5y6DcdrouVpZ+s
jPAynG7Xx2hyvrkytLktXBbZtU8Ep8XRSD+4VZSpZxjZqcqbuOHhZSCMzte6GdhSrjpTsC6yNTqO
Id7Wws/U+qXru+TezcYfTspfl+6DTQWsW1F7ArYJ3WsIVz1s3xTxr4qHa2MOYyroB8+HOSvsyFSe
xShzq7bNIx8mc6Wia5MyCXXIUPaSGMdRE1JM4t7Cqj6UuE02r47oOZZDoL4JFOT1gkdg4t6we8Wu
2sTDO+qWbalwyFh1DfQcpkVN+2nBSRstPlpv1b5outC33oo2/bLRSQdfJyNXA3MxyJYztyF+lBNB
sxUxRAZ2HvGx2MLr4HxucNunG7dmPVAOo3KSmVMs3JKcNpviw+n8wGzHse+G4UamLn7jTX48VI2S
Yrmy1Y4woRIjmrfoRMxXn0qUEZROcC9dYyzMWQvBEqfAqp56pgL+MRi2iCz5hg5sfTdOkUfxw0yt
qybzOnbx6tF+bpjvLUWfmbQ7c+oHD854NYSCWRle8W3GRcrDqYUi0vVbcivSse9zNS5+ehMHTeyK
Fd2NqWwz4lOzRHKW6y0TqB3G9FXgIqfLpQ+JPm5E4ervYseycoVMbeDymFR9sMkavG0bjWsNJx19
j2tdmHtJZYACG460PRDRpNDh5ueQzJYEedct2bsklMqWNmFTfBPXPVkeVW2oxuGOK7oaeYRPE4MD
6CgeTd3wJtNjE92Hzu/Tc+0Gir/LOY/ddNobbSlMjZqBbmyebvq+xuvXtGMH05CuKa3z/fOqYtz3
K5BH6LR183/JSbrhX/Rghtfpj3DNb9ma//3/HoGzTxL/3m/an1D2W/nlB6q6f89PMQXEKRZxBGkc
QFFBPcPc9ktMif7h0zgES46GFQwOvvTTb0KiBBMq/KYMX4QOgx/4028Cwpzi2TCYBzHn+juM+lf4
m+iPIweWiSRYJ4IjAq8dtsj+9d9MsDRCyfWVTO66pWdXjwlVPznXASZMQ94dLfChfN1pDkWSkvG+
P8c6sUUye8mpqzFfiDUUN9YCMsjbnvgHN0PhjtEf5ZEI3pBEtrkF25Z3TF48oBU3GYiF3PX+AaU1
ydnUHehGviWoPJAeLCvrOt5EkTYg3py9trI/eGRpcLO38+O0mHO4uPSldxQ6fNvQygbtsUe93qLx
aEP2qAI5l366bqUJ26WQQp8mzObU0G9ZPT/wiNxtipwhOT9x4h29wXz0GBmvsh6uqqFn3cT8HFD7
sZ9YQbzmSYTJO7SDDsAp2Iq4i8anwLBnBPjPoCuq1q+fI4rnnjcR7PJF1SAWF5xADcdrRrVHEwKS
RI97x06vamdYOx1eO9Pfqj4EadqyGyXiT5j77qZNvk54o3NgPsU2WItWdryIrMsKgfEjwUQIpybH
UxnB4GwS3VPYvsvGCC1ktl622vtI9I5mxHXRTO15ZtCvVWa2iq4NTETp8jGo06K1wym06hl+wLEb
vKFIIr0d2Iqeg43NFwOtp1jHICnhHBxTj196RqEAof2SYxyCfsIJuFtaY93EVaRfAaf4p7RLaVUz
1e1IT0my4NVzMDywRfBO9bPKN85lsWTqLdHEe+PR/tQl+qHH6UoXTHPxAuViGiEC7ByM89n6Avft
Qlj8NUtMBLsEaCHOjedYj5eExS/O3x4U8d4uOni2Yw19fWpeMxGvh8F2tBpNeysy4IvG0VzHgSna
2X5zhA65FySsaEZ2aMP5y9oAL42S6JAt3Rf0H/h6q0d9CHlqPi9QZN64JGl6dIOOHScEQ3qU9jU+
4u9PT2INnMzrhM+0WIReM6AgmadzgWpQwtyVFCQzvrnb33F0rl3O66nsANcfqAejN687jxVybJrT
uvh3G24GQJltduw8Yh/GGKSOs+ElitqoiBl4CIXv2fjo3bUMfmfm/AE9ARAMnaiog1Oy+hXYLXcW
mQeGSQ38QojbjtmS2GrgfMrXxrLcX5aDncQX4rM7tbAhR5G6iWaFcYLSh9VkrDR9e6tSeLJh8MGS
ZH3SOKufZdDCSFQ4BaPAlUGtx4pMuCB1GnWVxGAGlm8CrTOCHglwz+5PxTmKkHqYLXzQtBY6KbyB
yjEoo5m33nThgglAhvkMbSufe/C+ITef9ewdgwje7xLps0yBYkNLuXh4vMoF9i0ph7ENAFVL/RJm
Ks4TSYAgsyXNY66mXDZZX3KhR3DTvSi2afO/qCD8iHmqPlCDf2u1JUe5OVSlrk+Og5iG3Hitf1w6
NcDx2T/fOhX5FtdXRZsjuv5bMCttYbf50lL90Fj81b6XHAI2XDE5HLmop2qgvcnbTd/goSCkcE02
ombM+IS2Hu5Wd5jaZj0IKR6ahMfldy9mIMmVsBkT7+gfedI9+4s+zp552jpwMn0POx2Nc4WW4wb8
MgN2AuKHZ/pYj+Mpnc0rXJgGYO8wl6PX44btAAvdECfeCtP2b2iz3Eu8o/kQc1qJIdE5A8qVtNOH
NZUHG49XeDHfHCbKvB/EZeqsq1jgjlkaP30/GP9mdP3/2CEU2Lj7PXRqpk9/7hT27/3VKWAx2x4Q
BkYSADbZJdZfnUL4jxhL3WAx4GHK35nbX50CnrDsI5RI8bjPDM7Mfn7/7BQQWwkIDCEwsNA9Mzwv
7i90ClB7/yChAiuH7IxnYMAdwH97u/K7TkFkG5VLstz1C4dAVmg1+JfeBfFFbtATizYV79YW6Grm
vDdE7o56IhYc/mnZSPiYwdS+dWy6dsQ9Lb57s9ZBm49NSnP0zhiC+AZtaXpvxXqbieic8DSP+nrI
FTF3ILcu6TinhRPqzDfEK4QxUIlQE+uMuqOOotcINDswc1Qxn3drgUY7rHTn4eQh8WFuW1LEPTQ3
aprnFUgAONB4rei0itLX49s4nec8nr2wgItRROPmFyugypjBCdWy/tDToJzCdC20MWXC7ed0RsNT
K1HiWfZfVJvxYkn5xxRzbA735Rw5gqEWxjfUmo8pi48kG7eithGQQe3lkRGnMF2SchnIyTghyjVe
NEQO9xke8mcxOYSAGpUncLC4T3kh4u7Yde5MIMMfAmc1vBj44oSNXxmIptIF8uM47F1Xs0QlgLpv
aR1ut6ZbP/Exqa9zwiEXJ8jdwKWtPEmCx9BkuowhNgKMRKMy4KQ8Wttdg0QtzwSncgQDWoO2Qxu1
xRmvYsBGh36N/KKH9liRpvFzRrchn0NpQCERcDPoHQ5k4GNZ995aTLiac226pvI4BNHV5+ApfcOv
3B/6I6F2egqTZXtvt6UpBx8iAvoi/2ZNBXx723XPg15CBJWy9ONihHg0OlD3DTrTMwm0Ax5VI4Oy
9sMFQ76ecy+O2ze1leOucSF9ogFs50if1J8d4R7Bye2pswz9ByAuQdU0dnznr3jjjzWcvRevpew1
Jv1cCRpCp5nWueoIKVYRwjtEfilftgnXjYZ6ZMIbHHx4122lLHtjpHqG0EcLT823upH2VNeTO2T+
4pD1GeghS9D3xW68jadwgoXuwwfRU6UCeoU4yvKu59COom1X1Kkst3gHSwLCy0ys/mGYo2asEETK
Ign9GjjGzYCY6rXDofeeQmI9p3jibN5AhTh6RG6F8fSrC2vvBAWudGTlP6yKv4t5BOPr3497PxaS
/rmM79/1q4wjcEExUCFMupfq3Qf/Vcb31YwZ2X08MIjfZ8Gf7jmeL4QvYUbEwBcHqLT/KuOYBbER
LkGFx0rmOMqSv1LGo+yPTh5uZUQ38GhvihXe2Eixf/03A1+M+iGjeg3uElAh3YkvC+w6orqbtu6L
eEOAqtk+1OBRQjX1R8ugbfEGMlIDQmVgR1r30IhBMOsJvmM06Id0GY5I3KKRYEUqHCqfgSCMHsN7
HhgDU46Kx+4C3Fw3A4fymSaIJ2TB5nCvQz3BpPa1j+E5AXvsIGCQ5wyqCRIR3nSI7fS8DeJkw4iV
UbLccztFlZIex9f967aATgmj6GanFeC6IwvozSvEGv8bH82r3cKvxBvBVc1dUyDp8CSIAyHt4me7
eh/0Fqc5zL6yBdVQLBu9lem6Xr24e0x3TNchMpe7Grw5wjX4H/Oa1HOMf2i+QBwtg3AIwYxxnmNg
DUt4CDhphuiL331M1vsGGnJufFRWq5EBoE1ZZ5MuQWivMU4Y3wm0qVE0lWO02rM20UQ/BTyul4o7
LU6NXBrAPbI7YUpQVd96cz6hfFR+jXEFc7yrTEj6A6pXd45CzEBFyjFFrcxOD82qAvxhvX5YwEUA
plxUDmwZb5WpGcpX7OeNavcEHlg6odKPw6ZR7ubOVrGOST4MpqumneB3dIClQevkmGZ2fcC1Geft
3CLtZZeiGdLhQvsNxCLgtZs68dvS0tlcGrZkR6fZmsu4n02pQozCXhPVx6CbX0M6kKNq1IyMWc1O
Qep9XiZ8fHigsaqAhIHQVNAMQAoMp9hPv1FkDjEewB2TIy5VDS0bx7gpcNb19yRiXRUYmeadt/KK
BhLRyT7CYLyY5Ahq9ptwAT3CdWkQhPH6+2wb2AXvHOh0nBOfyAC7MVy5f6r9GO+Njz5FhkuH8WWC
qAZPvsPl5MnPIzxinJAo0iYxDcY8T19tNtgrs7M+At4Air4POyO40QofXoysW/KK+T9GYrF5BZoW
HXcOt8n9TUTHlo6IaRASf/YFpkIke3bXE90CExq5yzFeMErbwMOrlGnZSnCeuOdgYrahf7IbJsiq
acnmVy4i7gBOV7evPYDWE0HC+QE6siohcJjrVCPCeo0QWNC+e9sjcVr2PqKwMqLdYejV+9WjrPC3
esoHaofKNK5IFvPsMfUBG62QvsAZXTVig1Uh4PG3fgbGbG3fB3K4hzvBX1a6ZQiksObNOhMwkiPM
5g0yi5xInqTwvAaZqTOd029Nv7zMPrw4RgDHUO/VttOOfPLnyGsvfQw7FfnkI+i0tOiF3osIvcFb
cZ47+jrgPvVmXBeTIG+hit2roLlAoshyqYfbzI+/hCn9sPQexlLt7qdNkzPR+jRs5sls9B1isnXl
A1Qp1KyrpQXWwmu+HqNwQ+cqQSQTIa+WmUKT5pH5YH4zVo8YSSN1Tfztk4MZgzxReOJDc+my+o5E
SM+6SJUrhj3cKZC4JC623VKVeSwp/9wSKV/SbmpPLFo4fAHMsQ55jwuehIIITjoYjLXiMzUJapY/
yyqN1P1gvafUmB0Q7PiFyRm38sDGqlstwUtCoGT1pvSA7Eqa14NlDwJryHKD2+Vh3m+eza+R6tp/
6TQmTdXWnB59wNWPPdNjSUKI8qgw89G06Dq8BC3fGAdrtbXIhQEG71FhsvW4i3jwMjn8PUgqFd3g
eKc6eYVFupVdvJ1BQt75Ul1F1L5JZieqyPrhMbLAPiN/rA8ArvihgY6JUG4dlLE/QHJKXVK2cLR5
A6Wp5jw8htGeuG3xahuBuza0FvypjFgOuL3P1xFVyld1cLQSf2mi4Ug0CyLDcxukR6/tmrwVyMwp
BqlOCkCfKFP/REf+f2919qd3/KdW5//0SMp+/dPI+uPbfvU6aGj2hyYSjIM/WpN/9TrQvTNAf370
vdPZFeyf4nb2D+pjPTUonBhP7PqduI3FaciAYj15imcSxOiy/0qvAyPrzyMrpl+M0pArQp/+MVxK
HFN0Jg2WD/BpvJCexsgjuCuRvYKCrd+nmLtUiy5IDlm/fWsGo3AbrSvoBeTGYJz3D7QZJaJOSHyz
+DIYMRxUb3gebOgQMqDJR94vqPFjc2Dd0pyBVSDrPta4Ja1hOMMXJQ8iG0E0I8zwTJsV+iP0/TyD
t90WY2jiy+K87ZKM0mGoXvdefQbFv+7d+4Q2nlH083zv7NdgQI8fdPTc733/uE8AkCm7G/JjKnga
v48JZJ8Yxn12WLTnl9k+Twz7ZNHvMwbKJIwwjB3d9/mDBWCkMZEkGE3IPqMs+7Sy9OjOvH2CMfss
o625DfbpZsKYozHurBh7GgTdQoxBODevdp+Lpn1C4jD5kIclhZ0RSZH7HMVqb6rwy9hrbYf0Zd3a
BWHzRO3IvgcQozHBier5semiJ9L6cj6P39cY8H2jAXidQu47DtT3dQfptK8+aOY6W/Ioq+NjFFgk
EpI6ee3q2Z73Da/HWXZduQl5v7bmNo3Hi+ybW+WHVzJ5h8HYiyfScthgou1aQbsVCR+/orQ/8ok+
/y16+fs2luQ/xrD++QzxPw9K+7f9LB4BnKxducKIgjv3OzD8c1BCEgtqE1SrBNzpjzUtP4tHjOIB
e4NiXELuameJf+ldeOAy0K0fz6AKvn/pL+hdqE+/Awa/z1wIuiOZHiR7vfr9mOR8jy1ay/l2W7ti
1xYYxHhOxP8EJvp/qlEUD+NADB8SHTL1kGp+/4sCuPgqbePx1p8T+q5rFNofgW59O2EPVaKLaJJz
fDam3p7aEPAGNhjFH1qSsedxaBFwYiu9BgggosXXibtv1ugxWocFxNjK0AEuXWuil8WplNzbWkH5
b4MhLpcYHUnaef2dbXusfeHjOISgQfp5genF6r0Br+VHCGm0SggyAaWRX5I+tkh2j/1dPPtjXwRj
18NuqV1U9Ihgeb0ZLFaj2CG685cg6d4sfXunoSkDBJIOKBZsA/9bYsavUjEAfv7bbFEnYNzHxEuH
I8KWSMmOaOOxjYKKKnHiXCNDUUad4CWkn7Jf1SuCPI/YcHIbhOPrHC1PfcDg78e6fc465K4p6+Yb
Lxv1rQKgc+k5vRmp6BEHDk0uPS96jQE8nmCUIzg6qXFPDauc916C7oPcYA67NdLYcgvJAr9zC4+I
uL1bA+9jHzbIs7YNNPRpYnDg5ihscFkgZYXlf5hI4/1HTOEh6FL9TsdT5MqUyOYRkVevmrNAV9T5
7mPccyicCHZPuelmKHCeRq4s2R5VOmHpixcEt785uO9/ULr/6zdrhf4b4hs/Dgl5gtk/i7Ch7veX
mFq1YswRfWsq8ckigfe0PUGYzFUxneQJKY6mZJU4ZhWMhjy5xIeoCk910f0P1/of8Fby/cwH/k9T
bJtATIAgYPlb6SFxWJnADBjmOmQXjGSu6Bj80tHGIZgTmHZqqfdlMykSZzXxb1im60uAzyjtlCjW
bL2ltb/mJNxeJoASBxMCupmm8VCT7SXDIYBxCRNWvbkPqofhGmqFfI1po9LZGkHgphWIv7sKHfvR
BrJo661QManzLaHwj9G7h+ExRjw0VxOmeU4x7Qt5al2MAzTGkgV/rCyOv7BG59lJHpQLHDIhWlPi
Jr61Di6pYm2Xm4i9Y7D8gkjczI74uUdGgFW40DKqIEb77Q9z5d/yzb8vInhnsUw6xdPmUS/xgL2I
/qGI0C20iPLX+tZHsOqIQgAXSPsSYfemQtIeDYpi6PV+KV//3VW1w8j/QsL//Dv/8Gl6bsn00jFz
C2DvOUEI0s1sKDeTgR2asfmlhjic6jHPsAQn6c2UJwhLvNk0FkoQL3kzcPLR56CNFuO9QkE4jErd
hEP64Nfbl4SpF2G5KpVU4/XvM/n7mRxAavz1Cf5pWczNp6/f9J/6+b0q/OZIpnhKbohTF2vQ6A6G
/Ea73J+RnCD+jKDDrh/iSz+PZPhMyCZArABF8iPe8+tITv+R7ZAKwTfsC9H/GqyCTSm/u+TQdRDE
r3FcooaBDST7i/htAfEQnzfhFLC7mopDtgJgnkwi837Vt9HUfxg7Lx/dRMuNr5esXsVRCnbTD/MJ
HQh2fiyI7tKkaCIL+Sjrr6ghuPdpeyMbbDAKPO9Bco44y0BAiYn+PXyXDvuRKK1iPn4JZmjpE5lv
pxmgeLA8p714DRCES4Ch5VhZ9JLSvvSAkL/X4eyfZN1dmbA1cO0EycIpGA7zzG8HAMY5C8LnGSua
SsVjh3IRm9J6aQwUvH5drPkW9Umab0BMKjK0YwH87GnomgfH5KfNt++9VfXgwtkCFYxvVecllwS5
p3JG45yPGDJykw2fSdJ+aTJ9K5D0yrXFnzjDiqnMGNxjTUrZ9hBkx+3aYr3OsdUJjnge3idte+/v
oD/nPew0Mrmix/B3RB+N4cDYL7VpTdEH+zKzBgrk1iRYeOG3b5dlvefz1uSRP8EuiRD6s4I+GVGX
QgQPyMxq5HVjUXp0uzY9vTSTQwS88ZGAhL4cT8uZBWObswG2eUpAJQwz6G8PknFJG397Z0D4n+iQ
IOk+ZS2GrCm6wLZpD7RzX71lXS9saYLClz7wBdESqBHEA5YdvUlVcEadH+Ge1/XD6skBAuhEDyvz
/RxQJzaQeKDH5SybhyH1joMGF8QzGF/qZfXH7WgYVm/0Y4OsJcs48gbxIZNaIZ6wrKdU1oeJqa3K
Mpkhhy6+ILUhCmiHSKxjv1rVS+dKJ+oXhFvPKWSYG96Na4kfigmK8EPLpSt94J28DqZqkam5hKF6
7OqsKTPQTmXrElyQc5bc+gaZew0wv2Dz9mXWfpSPZoaD6sVg/TuJ7Vv1kJ14GyLnvJIbiDe0JC79
psdlqDQNEJqbJHpKXMpJ3LqSLbw/jGwlReClT5CkX5asa7EvyOAaIll/mozrC8Psk7fW5gxy+AuC
WNhzI2porkwCc5kXXMY0uwd077Abp49PnkieaRt+9rvhmHluqkJnbjwsGcD7jOR6bGFwNerzSuM9
/pqprJSGovCv2C5zCXAQY18ZLl5euT0mEtlvPRKujuGeDzsEnPo9/gp6+rDugdjMimc4fqasCQ+g
uiI2i1nxvWMI0qZ7pBYMeU72kO2wx2075G7JHsC1SOIi7gx8Zw/nBnBFr4gBq1zt0d01kW83ZHl1
Or6Z93DvPMhXjrRvGDUwEMl1If7DhjTwhlRwiHRw4zU3/h4XHmCBI6COll3o+NEf0gWCJOLFCjlj
sgeOM1D0w/cIcocXTtnJIJsM3fk1RegFdu1emuJqwFa8y+Ctn0J/ZbkKkNRVbsL2g3VJLxwrUKBt
uHqGizhNH5ByX4aDa8YY+wE8LGSLMH2/H5yzz64Oxw45arPoU8RJ8sK6IblMBizrfc96Rs6T8uKX
mqVhfdMmIP4E7aZypvUHQLQpevAQl0YNXbDG9XKKh26pbAuexeK6qxL48jmuwuc5nk9bJ9Bj1emp
SbcaIjE4E8uZzLFy64Fs252TM7bhiG3Dkh9x36esezcHqHBihNOvuz4EwtO+Mp096BQ8n2eTw8rN
eOrXri+yMXuM6PRVrMt7lQzbAXfxkdT6/UbRTyh/u6cxv87dmhRYCfMpcKjjg7R3rRWPgQ36Yppq
c1LY2IBrrb5DpDEs1qnrEGBuHXI4NujOcgixJy+Sn7B9DNZWOGMfTcrf8K79HBKLauAQ/w8PUq0j
mILkWMfIM7EebgGo5bcgGiSmLtGdCBgxuR35zI/eQu5YkPDDsrav2F952cR0riW20mQ9rwJwYnlA
JNJHiwLOJeyT2DA1NDWqnxaCYQfCiCVO6ySQsuHVNLgNnIA4gvkOCmExbcH3fuRtQsteZ2/qUd0P
xucF3BKkeADHqSa8jRvsJ0iYd0g0tvshcfq+S7G7TahbL61lMfgpxsnlS4utO0fr+qsd3ZAvbrrW
4/YhUWTfd3S3JgPyYFN6GWugE3M7HsBkn0dDXvyIYFuEP8D88wasAAT0KSMeFViglWPtZgmN/glb
G2DrhPE3mNvY8LWh2EZkurYCqVjQjdhQsbqDTvUlngg2avAGoJzOzhQbUrB/Elz1ssHg4U/gnz+p
OTuHMLi6aX2zDN77bt9V5mP5m56HCeVmOYiAfWspPSV2OA8evlqP5HVa2q+jCa4ibI5/95Pf+8md
APr3/SQySNO3Pys8+zf9VHiwVBkzyf7cg18940+FZ1/EmwUQefEfBpYQTeg/28n9YXd4eiUykP+C
nX4STRQPzoEwRBFLj7IA8PRfkYfBVf2xndzDuyli6VgIhD2If2wnl9Ghe2RNdGdc7BebW85wZ1UJ
yBF7vFJ1GFADgJWuH7IQ8qlh8RcdkTcTXbsy2fMerYMCOenmOmGHVC59eQOGUOdkG+cSWz9vnU5N
GVM9FMMw47iTzw1nFUJIj13cHuU6XdDpPqoRXU+rVqBJIzQKHYRvpECcinkZeh6K846KCUmM+h0w
qw8JYmZwaDdXpE7cJSy6C2xaUTVcMmxs65ItOm8LhrG5Q+FeGndEJB36xPgKifpxtiy5SFYfsWPz
MwFLSs2GXW9iyLsQxTtCpCtPY4G1IGNd+G6YUXeb9zaYXzq3xEXTNacQJyF6DixVFA2ygdOCdoKP
0W0n1KXvAItbrV8VGrHceQPqfU/udhSzsEzdtckyXpwA8T3zmgFtGcCsNpoV1Gf1rUkHv0Rcb4MB
Gm+vBDbs7RJnXzaON3eEQ/oQIpyRN0Z/ayAD37RDf04o9kvgiFuPjTTkznA4UdnuAWHKxAqQ3Rfq
docIS4SbfNldIxBWcJd2Jyl2GXvwGXawbbvPpAC3wxKH9xTtLhTf/Sh/7dtTtHtU3u5WtbtvFW2I
DO9OVrJ7WmJ3t7BhDD7X7njFu/cV7y6YFhOkI6xlrCQsMkjZV7QLd50MztPuoXFBXuvdVWt3f83b
nbZ199yC3X0D1gMfbnfksO91hXau6HHa/bp2d+7o7uGJ3c3zEUl7lDYj8Pjh9UFca0/+7v99t9FN
FHkP/e4Oig1/qdodQ5766YHsLmK7+4nr7ix6CLqBg4XbmOy+Iwubt2to7tFkyarxyJoP0/h56MHb
8SZFuHJ3MEdqIgwx+3KAbX+LeChfrEnadxKpvtw0VJ7WGZsQQpC+eV9L0CYA1/JmRGfA8b7nkfbm
E7GIrDQ2xrq9bOZfofJl0OOzulqY8E7+1B7mBI1HLSn6TUR6BZU6Rw5U5CRuoTe2lpR6FH2RLm36
sAXuoXXzY2oFhpz/Yu88tiO30i77Kr16jlowF27YASAcw9CTyQkWmcnEhff26Xsj1dKfMqVemqtG
qirRRQTu/cw5++iJFnuZnl3oGlDOp0BaiuWjQ5W87SronZmbNecYG5BnTBa3Z20dIG+HJ0uxBwqL
QtzrSv8cu2Wn+GoHSXcn9UnTNnFffYWdFdiLQm8ogUy2yAxoF+ZHTRk1qrDI8tTBPRa5bjEtmjUw
Wj0bGwrqCic5NtgoiItCOSpC3ceG8TS0SUeFLR/zOjnaSXE72q2nKPa5Nd9CW7/pqSFfqYE+R6s7
TUJRWHkDaHDGfjz1eED3rrv2nw29apSqJ52fJit5Mwzie41l0tOW7KyOqrYZXPt5cXC8x8nCrd7m
31obGzwu2UMJ0hhGyAmVIBbtVUFY5E65S2MNHcwgkRfO5bQZEOKtdcmhaIFa2a1BhTbzFmp1fu2V
6CGbwje17L8AY+QUVKvBt9PmJh619ym1rKBNDRrnFo6Y1sOliQ0wAWJdxreUQ4tGh9UOZ+TZLz0o
W99WxC1UT+QouV0c0Lnyb3ZqsunTDDZNV96gQ9njrsJUwLg4Ucv6GqPmxISSMG+bXL+bms82tFbK
ZOxjcLa+sCLKzaAspnOhd19LYR+K3nylqDAPcQ7GtVk+sIJjeC6nPX90tpVwzjDQLX5m2ReZcMq4
pcJkDRERspTNUGp7pbb284iISI+xzcfjHYPaU6a3Bgvu7KNz3L1dGBctqnaKqHcRRmfeU6i0Gv/d
fJdOHHtt3H9vY/sWcgLtXzkfulxIBsaZhxbpDnOqwl3Qe5kx38guu8uR02uxfMygbUir2Ns9GKU+
jx+zuPNwBqJDCFsbvuGyDzHfx5nnqDBdW1f3WNV+hn0xb7jHlHkHILt1buOc+jqyinsVT0Pwb230
ozZaCYD/vTZ6+BHH+ufiaP2q34qj1Rhm4wlji8N4HnX2/+zOjRWYYzgWVBH26yj+fi2OSIglO5R4
dtSFAmv2zyBCh4qKwRiVzLoXY6/+T4oj8YPo8dN4d53QU5wJVhe2w0Ze/wOLIi2qrErVRL0yL2zk
dl0CeRjV+69N0geDSKeNmofpni0xg3TNfQ47DB9hw44Env5Hl2cP9DPuBp25TyWpUoTHH72iHtqh
PqVKghkW0dImrgfAmUO3TQ3tbbTx2LT62N7kdX3AmcJlG1+hGxxy6Z7pjTdawxYayjiMBlBeG7t1
9kUM63XEYYKYrhstai1luU2tPvSyeLzXje6LG9sKmrvibk4VbVNWyqMi4wbYX9Ju6jjeRqF1kyWv
rGXeYBP0m8RMEBpzijR162m5eZNjxw6SpdjNZcnCuxJXGVMFqJq4WUguGIr+xmnDb5U73sToiPXZ
Su/EhHA8KsLzKNiNR7ryZWzMgCdOe2/ws29GWBxL2zzHuvotshPkXxW2dyvLniZb+dab2KHKzN2n
qXOes0gGGn9DqKbneKne26Rst0OYxsFIa+hJvTZ3hRniHkUx3jjI8Kvw2vbjW25hbEltPExOvetE
WmKKz1d8oLZ14AfXIbY/HbOOOS77ftSQvC/uc2K5W5Cl53GQO7VzBq91krsih0Q/FNPJaZfT2Dpq
MIbVaywB6g56DRMQxnDdztDa0u7VXMab0aqpDtv8e+k0ZzyGEUDW6OJixPaLjouxZRigdfq+DVno
t3X0qGfNQa0ksgsbDO1o9QieLfmtiOyHKJx3qBMnDCxw2FavCvkJnxPmlQUTi4WZhf8NDQebOTE4
TlCujheZdLfFDw8MZhjrVK7OGBdYiLV6ZRAjMlvDPgN6eY8Se2cNNYSK1WHDvwgkpg6qss836urC
GbDjcC3sEuw5YtZ27urXqTDutCtNrStZpxaYevrV3VNj8xGr32dByjmvDiCxeoFSTEHVD3fQ6hMC
fL3TMQ6lpthmFLybFEuRSMdjsnqMZDNfGkxHJArcdIvZsTyK7fkry5XmRRYd2BwmYc7GQlh3r6+i
w2jjNLlyp1ZufY9AK892jD+24CC3qSLRxerhd4B5nyFrbkSbGfyS2j7axfTcWs1Hl+LNq8ryzo7c
nSLTO63KDo6Tmx4oHb+abC8x7MGPMxVdv9ldNCMT/HFVUNs2NoYp2ZfdJAIJt41Rqr14ydDmmC9y
n2nF1rDm98nS/Xqa3oDlBqo7P/FGswFKlMMcKye0HTuZKocC350Frj1KMt+FEpnk8zZ10FxOTrWZ
xXI0qu5FqxufcXPk6/m0HXL8ZkacnOy4Tr0u1VcG+G4ktiKvct6Q565JdvPUb4mUYI3XH2LgHWzt
8HjnrS9j9zVP1lVdI09DhbljqWN3O+VWD9aSmqpWWSm4XxnO8RDM3jzBrUgZphrVfBZg2cfGoCDV
UVciWuO9NQn86Pd92zCVHa7J5PhtIh7VOMo37tycltTGnWbC/WUAybiCmRXCVFbF6oPZh5+11fLp
HPJD50aO19rDXovsCTcBbYqRM1pdBqjE8SaJTUgIMeJb0Z9Hu7iZlAKUMRe4iJwvmYFK2HL2PTVe
Q0vi2v1tbA0vql4dQjFtrUG1gzTJOP+mgkWBVd4bPWTPeGmuQo1QDyf71SJTxcMltJbHGsVnrXd3
oQ4opB42Vs1gdnJnn2X61rKawFA02BHt4LdoRTmFja1rdjdqsWwpMwfPhcJRV+pHFlLhdXr/xgSS
yaFuGgfNjm41CpEqiu60xTm5Drz1ZVHirbWMR9VKPcS10kurKAmYErkHIzJpfeR0a2QKzNL5Vned
76g3t0Ve+a3VBS220i307sIble46d9VtZztPU9xLLzdNqBK56QYTsJrXFPm7H1XD96Ttb+SkPmd9
cUggr0uXzqpv4vt+0X2dPA4zmoO+16qLnKYtQJOnVNMX6sn0mRM4aAvzrlFwKEWq+0Wxmpepnm7G
XFabFiwRHqKV8gEfCD+RnMxrRIYH9kiOcTEfwtqF46qF9Sz2yD3TZ6SrY+prSqFtlaUbPWdygkyN
D7qZ4pIac7wmpfwmBqP356GcVjnEu8tUVWtyA8EEls1Ip/tolmQTGsDqO9IU3C49d7HNcTlPpB2U
8UuZ6Ez+9HuiR0bKV8jqsv2KBsanoT5iyLy21nRYdM6vxqZJKsziaZqVZyaCVJd6igDW8KuMFs8h
pWhI4dGKxSHrpEJd1if9XdMxtTczm0lxoYaQV4d8AoNrDPKXJe5/XXjr66rvf8oTVoHgvEwAyXjb
GC/hk//9KrCtiXmaXcO9ag/55tXcDre1B7bEc98f79tzeYyDEnVDfDJ3oy/35VZiGt4n53+Hf//7
F4bBirL7mwKXnNpjyaw1Lv5c5a5f+luVq/7HRdwF3gCNk/bD1/LbCBC/I5FaNlWrawtLpQD+daPs
/IfobIZyZPEBnfsxuPt1BIhC1NH+3zf7URr/A40XgtQ/fooclQHIGo0CPZBMsD+YYRgN5tMEpOY6
K4MF8VoH70x6R+EkB6uXxTUW1jmWtrxYJpbbxTLv6jl1N0uk3huhuE+b/hNRCDiDSR4SwqGkrW15
RE+prnvKsByzAgRCweWiQ5MfBOa+yjipGSxko88vFPrbMLJPrUSXOCt3ViKf7Ll4MafOc8L6k204
40CH/XZxSCEbS0VZldF4Ix353MzQW4RKUZtd+hmxp6teJhsQt2tB+XKWnYkphAXMk1mDt+cvCrJm
/MBheQ7R/neN8WZE2W7oumMRWlQL7s0g6kso5cXl4nYX4UWyuvQQCoyyPoMoeqGZ2UvUSS4CWSUt
r4mWXEpFC4be9et28aU6UGu3t5Asz9E4e1gbd8x2AiOzLo3O9el+bxtXD/Jk7D3Z92BqnPcVZRZb
KNqS4aC0rj+YLRzZBXV34ufVsrGq5mFu53YTTvE1Mm1SWUYmtNYTwJn9Mrf3QDU/Cn264Hu7yLA+
DRbMuqU/5s28hxWDZr76bicVXGmA2+F6kYh7ey3MsAbtO5vrU2TjOe2pZrS5vqnD9N0oxb1bWZ5E
zboC7xhudKdIz/0lGg7NUnBBK/eJO0HDCp9FPj+BRwgs9ECbWoK6xmCEo0OtPTuvz9x449Ya6+ku
Y/vsl7H1jiK32VX1tHMq7qVoql50HTtIPk4fhflDnttEah20szuSedA6TbJP3EIeurJpkqtYlolC
QFiFsRsaMGOuNvLuT+3BVEp1V0KCXOVG9ylju2PBpNNra4I7tEwzzpO5DPgl8d1mU0wzAN/JD40l
udc1fZfqarsxO07JQmtXjpQT8CetjDSmVkA1oM9VMMc7R0283h7FHpoaBFBrfogFIj2W3hNXD6Ro
MGVkKVQ1nqKofXKaTg3ox9bJjH4XOzOo+eT7aLJGYnj7qOjh19IxfGcW10U3t6JJUe6lo59iMRJZ
+EmndcYh8KKgyUvOTd8NAf8u7qEKAy5IuCDOyzu9BATed6zmB4RGoWlp3iJFittAfERwdzYqFDHG
1nXvt8IltGqIsCknZIP1jLUEwQ7DQOfKzPwzqty3YtafTNP65PdH11xCBJpnI1trP2aYuVH5UE3k
pkrJPBkqbV9ljc8W7Aou8ejk47OY5u+9rUIKcI7gqkFxK32AQOQZOWGAGLG+zOFYb/MBV5LeK9a5
zMIHKBARbtq0DfR1/tYLA3AKpl62rbzKdf5NKdckmdX5a68e4AQzcKhku2R1B7vLgFGO7i/DOByr
9gc2iY9JMMtqVm8xHNe9sbqNbZnto9V/rNf61qkYZ9eGvguxKHerV5ljinQepmFRD4MOO/McGXxz
RXyNV6ezhUsP8N+HgmqxXb3QU6ii0ApfjNUlPbskzCB88cRqoF6d1KJDN7tgrpYjUTZqMs+wunnf
pzB8NdZCM6xCm8+Xsa1Xn7brjjyiq3e7LHksYTS0/HrG91zVp92wer17Orw4BX0+5tjA48XidxuO
FQbxKWeJPy89uh3jMKLtlN0ARk09dqu3PFNclzgawDQ9a9pUqg8jRnSzkI9Q2CBsY1EvmgTRAaN7
gLjKKe6hORVz+gQNBtlvXtl+9kPEL2VabNHDI+1XSlT+BAaowOFR/gugHlicBHsgsDLq6g+YC0r2
YvUMTL1+ZH5xV+UtkI3VVwA3N/b+Hbb9GLapXMv/vRb5P1kVF3+1ieSrfi1DVkG50Ak6o1L8Yb39
adiGXxd7Lf/5BVz9uzIEHy+BwKZhorW2bFabv5YhVCirh9Y2KTFdbCz/DGn9B2XsKmwD3wA/2AIg
wyyQ2d3vhG2IHsYkMZzsqmj1lyhG6LFg+dNm85BpDGwSCu226QPbZCQxYI1nnOLOKE4dKPXh+jDk
cf0jeIO6nSyJyFS3KuES45oy4cCb94ZoPqld6LOjx76rdc+xwwg/I6BCrkkVg9Lss7R9zy22Y70m
voWMULxKyUnxMqebicCLdE2+cFJcHyrRYtY8mNyXdH1EYmV+k5uTDwSt8+w1R0PMqsVghGyNoqRT
m03T14nd6CfyN8CgvRogbRGUz98QHxxBThCkADRmEw3kd+SAbUzJk1zY7u3iai/DmvWRrKkfUhJ2
mK1JIMmaCbJEEGJQSSA2CbnWu+285ofUuBI3OpEii4zO3O83FVEjkr8JaQ5nRK7r92Oc+kOEbDwl
oCTU9MeQJENML32+AZWFAHDNM0FMiJ0RuVVuzLFHxOeLs6afWOhx0P+ZQx1HD52eVG9qPT7Pixhv
uhVUYYDJz7QRNVbdvBHYcogLNDXVSPffm5B2RgxAvYEaWYbOWUb6s1GzSuvj8Yr+zwrStF983Vyi
YHGBHkaNuyKq+ntDkd9MaBg7AJCeBtbxprTeu+kd9uVWVNZ7OxvlDiXOjkVTFDQ0jOWzq8niAbtn
lX7G0fJtnBDOI84L7L4qGdQ10nHe2SRdQj7fB7Ur1P3U6eVVb0L3KvKwPc5u6AkXG8/I/dE1HJ+q
RF0ihTtfjGRh8xOX+bgDnfuCQc+341yejan8BKen71GEuEwjCc9aNv+ec7+ccwgU/uacy9+/lc2f
2y2Vr/r1nNN/HGaI/R2h6w45Rj+dc4gxkDlYHDWQB3724xFuRN45vdYvmJifyf0OlhpM3eqv5Bn7
n+wU2Cb9sd1aATIqqotV+oEb4Q/63bIyiYxBR3hVM+MRt8aD3jJdF+1dOqGBIAlSHiOVy10Te4oF
GoA0DbfhYJH0N/UhVlBaLXtmXUy3dK9SCYPxYrzBiN0iVkS761SKTuHyvQq7lNjmK+3gRpjbK5k9
NDb24aUonY1WTmelVkvW/YhrYY8onjKZoW+jK0WKpSuIPsb6ohb5o41X72wPS3FKdB2TtKXXGNp4
xPTM3okWL50zlKNnSYq3pSkeZUEtS4AqEURNe6grE29CF7H6hBpri/wTtvgzXGYyM3RzXxrKg7Kk
qBbr9rysCNbFjD7IXWCebvagZkpM780h0U5aZHwb5HtjeAwIiRVGPTEOPeCGpYcgRwvoF9mU+vrS
VkE1J+/jwjE/dc23vhuPWlcxm1X5g5ohPDAnu50xyFCdBMpy6jvtOAnnzUysQ6kmgmkly1c8S6cm
atgNIvBjpo6ucdKu+Foyhl19oDkqb4lht5suitqDvSIF8MHcE5Ur7lxFfp30AsWvA2w1MzIv1qS2
1esS87w9aAyFucqqsOyCLF3jE9NR2zSqcwITcJh7zArsm4AyFPdT2nLkLL0W1AYDNael8bRcuN1Y
IeogqrvhIepUNq2a+xIpZbKBO7Or1YRSy34U7vKuKVGxI15403HsUaS5fqmjLavgNW8qUe1HddA9
q6uPhsbfsjT1zjVyApBCrVBvK9EVD7Th/OCm5Toor4tovsYlqjJ9UG75gL+7JV1Ug7jkKFPtlRHp
uUHA4ivIE/x4ND6nsf8cyI3ctt0Eia91wj0I6A9IeioaHp35JvbNbTz2D6YesfVy1OOQJF+qxb1Z
alovs5Q7DOGnekZy2KrQFbsIu06ZhiDf2vbSJQuPz/Aoo/CjljbLMAPodqLkDyQ+UWfr/Utt2Ie0
pqtzTIZic5lxDVo5658CKbJJfavKIxoexLzJ8sD3HE81jCf8+WUZdPg3vB+8ZRrNdKu565s3GbOn
WqEF/k28tGXSQMQAndS2RXFs9X7yJgWVgJxjmpEWCfkyteVrpIJ6KKRsbhPLRM2BbX4qZrZQff6M
nQfVdydB3CZoR/QSlIJRFUGYsWhsKfd52juCAzHek65kSTJL+4O6kCWDVPdga2G2s/hdNrVlzBuO
xY4eoL1FVLFsyhqnV8eGRwGiUC4dOHQWLBUcBJ400XngmCe2C9L23QgPj9AozvkHNvO3Ce0Gk+0n
bUpuzKY/lgbuI9E8DPZAT9PmO6mEKY7/cCHsVbsMU/8Ulz+8CPI2F/1dGo3PTkq4ar68tiF4pZQ4
kE1eJs8WRCMxqfu5bR8BX5DQ2hfqBjGRwQKF7qStA1ttym0+Oy1ag+kcNsZdipQymEYtsPXqqPd9
QYh6/12Y4VscaVdyCS7EKNyCoaJGG9qPMDQR5qbLayapLkTNUgxm9Fub28ilZlqwTq8eSynYH1Ql
2Yl8asjNmNNno0/MPVMvhgsum+hAlhDfzbj0/73Cf1zhJnPo/36Ffymzv4gnXL/mtwucoSj4Fmal
rsaW32Rg+du8FAgcBlFGlTbnG//487wUSSTWmHUWruHNZQD7U6MCwNVihe+S+ILa4J/c4PoPi97v
x+6OamH0oQ62IYi4f2hUumYEyKon07XqkKVUTufbYfNIFoT0En3u/AUwyGM8aNlVJ1/goe1DwjNV
jc3YEmoUrhMjjhLaSC2Mi0HVEYCWB9VsJ5/GYg1eh+XlRtbDB9R+PqDzGnZcZ9OtG0W4YPLC9lwM
DsSzcdKqTKSgn/tDLMtrHhGhOwIsv2dxVux6PERBRB6s32raE4z9bJ+xHYO7AqLF7A/G7DxGkEC2
Ewh4kFsonDO0g56w3DdFtca9OzrPxaLHT7UYy7PU52LbITWHl42RVeMluMaaE4Iw79w9a7J1u6Nb
mw5g/36sbOTYkeHuq4IjJ4rs17LlBhYVYrFVHdTXSPxcBAEEYzNd6j1MLaS6y+qo9iJI7UgN9Gg4
wn++YYT6zKt55sanouiwjJYWXUqRyjdzEKxWeXC5kF7Arr40ZpEFDJGI9Ijih06wUWRXBkSv0GzP
iqJ9uuC2Vaz804hgkk6FdbQasqWBziI9xfez7RQTWFM4omU1FxLhsoSUguqhVMKLyOYPZ4n3xop/
EpXxLZzbW6Ul5w9C2spehUVTj87FAJJOQuVyMUve0q6a/Hoeb9Pc+NCN5gWk21fg3jgpJRCVbLpa
pDdt7EojvThi+qiM+sFk14PFY8IRFbnIBp3O0/N1ScYOf8pZ7tsGJCpNfqmi5Q5V701Sw/BRJgIE
SHdgRhSWaGMBWjlXY1YT42PdIc0Hu8P6xODsRvmBF260BhSOycUubfNTYWvPyEdsNGVmARnWm3Al
FatDxn1M02gz79voKNshIDE7HUAOhKqGa9ZE+z6bKTGGjOlbZdHvG5Pbc3Cago1s+rXWKwFzNZ6Z
UkKTKxN3q6os9Ejh4EXGYn1QZrj3kcnqe+QB91Q+qUZU3WcFnqAhhtvvMFar0lx9LGTIFFyIvYaC
DeIr2S2YQnNfD0fwfCqc/Tn8nGcINYpjogQ2H5sufNOLgqY8NTwsfBeAstlhFHjL8rEHGw9xnCgW
cbU7ulIMwp1XAZdjiygeBmDvXtiZJ5IGK88tZteDd3pssj4+anN5g9EHU1UZ8y51Ltq015ZAD2WM
UPfjzBFjvOtqJImemze7dk5p7mfpO3X2ITMTQGDFo85jUlX2xAubv1WyPZLuWR1ShTxHNozaFTrf
CjJU5D1xidGxEA65n054GWqkd4lrIaOAlZ4VA59zbLoME6e7WSNCbq6rlKwHNI69rod7te7ILGxL
sZuj0PVVpW4PVV3cRJJtOM28cWytaDnWCTAPUdZqUNYVKWIYFZZ0Pipq9MocBEB7Ek8ep196UGLh
ooWujgp5y9FE9IOVVF9qQM7f2yJfzWq9uLOT5HNJlg6qn2t0zb8t8C9rx3UD99/vz4f3onv/X5v3
5uP9r6ys6xf/epEy8VvbXdsQyNjWIImfLlL1P8zycBeseVY/Zne/LR7N/4BexfoK4pRUL27a/7lI
DVA3uoWcZr2WdL7tP7lI/5zBZiJ8YyWKrg54jrHuJX+C8BkSrXA35+Ii87elvUzTl59elr8wZwvt
T602zECBHBDbLZ4J0169Dz/9hD5sRUcR2F/I0AnYL32fYSZkYXJvNt130iHADzexnwsqcUQHBx7G
fVMnqE4r3JcrjaEEy1DY3N5gGpJebgXYBiUjgklfZcLN5LUr2GGR2VUbVtaDMXS1cY3ylQGxuq8i
XkQutRohj0FYLLRW1TwgNwjZ/agQkolO8GfUCb4Qcfat1lf2J/d0IADb0Q5GymtCH+27qfjaywmf
P5IRVgtEyQFnR3OhOVdMYUqQOc2r20RGoOna2tWJ8TahUMbMUHZbrWGLQgbJzdDEbyxlT6au+66b
z6cx4jLMinLP+bj4DYFWoZnt0BueEaqD0VoKCoGRGaeYvuepciXiE0Y07rVtLxzUI92DDU1AUauD
Ubtvqarsi6o/dpUKTb2f76bUOSYLcPBoASPXcR7Z9nuoDcSmI46IkPD2afze0TTTE2PPN519FiVX
haQxk1GaDPUvxPAc3d7e57V5EkVt0vcM58xYfAvFR1MB6J9rrCACxR6GQOx32W0T4qhoFwwpsfqF
BdwKC0uOQhGPXaalG30BEo5/4SEmV9OT7YTK2IkPc8aG2ExMJEyJtVNrxHOllb71Ari+2ni8F5Ds
i27YsnY6TshAXTG8iNLwRmleuJe/tN1yTWNxL3PCcclX29liOMuxOZSwDaMpeZEDi7PcHffZMJ6k
nj1YWol3O8leAMc+43l4scJ+WzbWkVimrTI1b5boKqoKJGlG+6Xkj8fzOu0UWJFpxqltw3MMTcAg
06kaEw76OqIsmQu+qYPWSNgh7AH7jacAd23yJQoBmkwthgKl7/nY1N/nMtk7XRIIo3pbDYyKoj60
eBY3KcDHYeKyM7OPJQ3vUuTfdLPRKSW3kQBU3JRCsR8lkUpsIKUXxREzihyMm0Y2h1JJ1pMLMyNn
aotjTGKzr1Ta4JvWQ+KK156wwK2iQ0VgKsvTk4wPqpbcKD02P71GRm7WQMkB1N9PUFi8noDnmyFS
AeJbRhu4GR5sXcDQHVsCwsERB7FpPVP9R75bh84HUVFDINHNoE2vrJ7nm4lP6+WzwiI7iYcYS1Js
nerKYsTDS7ExEFh5jQIvKclK6dMJNyy8FcryRYBL6cL0vkSm3IG/V28q3B+OnJFy1c1Nx6KREUqL
hH6ibjIokDS9bvcUbEkQxf3J0iLclGlV7LQFryQZVMEyrdJNkVVB2a3ToDzOrjYD6tTLlPaOMVzk
hWH11Vzm5yY03u0U/pOhnRMMjJ6LPZ+cZ+UUsqdet9nmJrXMCTtFmT9gCod3r9lh9tKnxf04oNAH
SXAVjNA5WbwmESQkaMwNq+IGvzEHIvsAzV7V+ngSKqZhnFFHYCR7eH9MihgSLN0J7OZOmhh7M/Ul
ZZFu9OpxBIC6K6b0TSTwRlok96ODfljrVLbfIrY/qpHN57KsWwhByNxjquXjdoiNnWGXZKaTPeFJ
Z0lZdMbNeXHSi6FX+9Rt7zREgN5qs5ly2vtlNH2OvIOuhT1Ru1ZzyObhySJbONdzjx6gz9CA9TKY
Ifm7nDn9cVSt8q0QncL5q3yvW6niKWJix4+DNl9Z4loaWYOWMUVfOCRy2BWIF3Yc/fIlrPkJep89
Fjm53xq357GfG7CMSXQpSJ8miMdwIDFCvBGl/Ui0AAtwkQgkV3oLA1GE4RaTzaMVzo8O3cMrAYL4
b3qEymYfaRt7nLbdzGK0UodiV841tja+cIMRq39t4szZrpTiZdVsS24l2e0F6oJNOlZbw8mJt8nL
L7Rph2Jkm26jymvLqzrbx7Sen1SZBEMMGqms5FOf6Y9OX7s3BOwM2D+Txi/DDBx4T71cqeqXtbX1
jUnUr71VaT4h9OhvJR90ssrBD4XGqz653UOomxPjKcUlN0Kdg7+/nmnwfxKvgU4Bk2GtlHfmqPhX
LXaOP1/OFLwWtPKkIFMPH/60HExrvBubdvv3P2Yd6v/Fz8FjYNoGrvk/FQGdveRpJItLnmXn1tKf
OJVuHcptjsuG/MV1QTNn+2GqtpmT7ltdniSMVUcvbjipTiYNR+KmdzLEVUVhbEiCulwCFqLws+wt
Ftw8AggAL5b6/6PL/OVvTpPOooAhCGvb379CZt6X0NhSkinZcEbzo5qgcy9Pf//6uLhMf//6rA4H
cltXIRlYEfsP70Pbw2HI0364EN5H92mJg1FyMKjM47fIucwgVIZXQiTKu8LlM4jjeXTGdZFYcVAZ
EACSfCsVcKeEv7gPBbdSXw4X5h0ZTwlB5qZOuhfU5EtMiMoUol4YdZ4bK2c/OLsgn0wte087SFpZ
FO+Wkb6z1axAZnEapJ3xVWn0LdSk1ftTWwwqXc0ra+ixsklpmFlzzNI61Iv+CWj2fbLh5JpqvJns
7DwvNnxCYnH3qjYmZ1VWpFlMWOUjDZWMdBMbD1H0HPZa/liPJveHFp3MnH1Fa1Xd3gLwN5RccRru
gJls5aBS9StQlsKfFlbEqMBPofrewzIy7QPn4hdHySDDjtp+TgRCZAIRC8YfaIxx7EEhXASlB4DD
1LcjlGyTku+bLjcxV03HXh3eUyIFvs5kcagWQhM7k6CAFhq7tt7GRktXr0/3uWVlFxezomYt001t
t+e//zigYPqLzwMPpMPHYRUGrq7kn5/L0CAZkf+vu9ia/m64LcqZasguFi0j03v5BgOOmW8rPc2a
fCfOGGQYmOvsFZQrU3vPEP/ckVsIefpsls6rIQq5bXOzhvyiikNu4ieO4jTHgTEghi8FIQBc6v5I
tKCPLId6hINIzUs8tWb9EOW0nJpsS24DBDkd26+iqrfki35tWP8y7jMB0ZRw/XP9ydJnamfE8Uan
+bBlaww2WBSb0XoFcH0AgPXNsieWHyPHgJuBLZkemXKcbMJ+arQCDEn4hEC8nfUHcxjOaSIf6ti8
z213Z83dq5OmGF+LUg2suqcWrIcAiwm0uJWHbCS4JNEM+OCc3xU+E17lGl80Q3nV5ADFqSNZVtrq
dlgUwJJTGWii2alqciBRItDZRnMb+SJFS+M4443NVmjUhpZrvvL6rHs0xuriOtOhLed3QLNfa6N5
L2zoFDO/Z1/46ZBeSzmd7MLajtgxpA1bM2ZaqLvxXVop6YGo2YDExMDKwNFUPzZ5EX0JD+OguHdQ
O79jElqpFciXeiZhXZ96VkvQH5kSmmaRS0rGiwFW2VlxcyJaGNdQoaa9PClaGKTa+AJeZOXI3JpS
bCJZwipR/i97Z7bcuJVt2185PwAH+ubxggBbiaL65gWhVCrR9z2+/owtO22lnFaG4zxeP1REVWRR
JEFg77XXmnPMQ84uHo0MX5TscajadU2yJkl/uqco7JpZMK47tveiQcPeS3XiZam0wdV6WHAmWA4x
eqMSjqtWZtFdkHcndJmM0T7h69uGRQd8uj4rbIOqt8uIDq3Gajtn1l4Px0OlYpIyBN5aq2KaS1iD
IwJApZZTQkYEFMbksrcKEilOpuFbgEno3mGrMAH6Ie2zhvtKhpuSy+dIX4GoBPpZEo1EdAUBYRLq
YK1a2pcrC0D1ZhwWr6Ju2DKoaUmis7bNQBVi4QxBmjH4+NGVX2xtv3hSNXH8fXe8VSNnhqGdkv7J
vj+05zlt2WkART5epM25wonl87WBg//fdop3K4P24TitRlHB6YKVoSxfFeKfp6vBOSvCB2SQn78R
SKy/v5MJaQvuJPoiXQwH3n+zsQUll8jDdFyUOSQucGpXcaDeGG1IhmYJQwcr/qGqYiaIiqyc2yIu
zEywpdJtwpXF3121ivQNJP7lVGi2ixz5jvCNi1K2rkEYElycrLpWvZ7CdsKKFa7zLn4qEv1eirLq
KuwBvBhR1G1yoz8YiUx+meLPCvNeSrwN9iPrnmD562qB7EEcU691O4JWDks47wzCkpGnHBq2bYgo
h1SlCdpLoN8JQ6qU+7xq/DgLdmOF1zabsCAbOTgrkC2EVT/Wk9Pcq6GwR4HP+8VV/bHf8ger7t1F
/SA8SE29iJvAno729BQtX2b7V9Hdv/jRPmwcspRRI4fpfIzt6ypx3Fq7/cVt8fkbvJHR3t3vuZmn
cqqG89FQTzHUGC6THM2/Cwj/0VQhrsJfw53vVwmlGyUp5FPzw603WS0kLp1vgVUYg3Q35tQkt/j1
f/FrqD/e48jdHPgdTKvYauF5UJn+eI/PEK/GcKnUI2XMC5uad5OtA0/yYZOv7t3Cvd+Zq+HsyxVa
o7vJf878+QtPdLvVdp9f1TcT68dv/O6xfvug7y6rM8ROJYihR+RfnryCp3/db8jnWjs+Te1mrWy4
zmtl1biAJ3z61YOvH4uXzz+FGOr95Lr/9ciLxefdp8Aeldlqw3V/mHaqz1Rr7Zws96JFRu5t7o3V
menlG+fIhHxbXBvbm8ALN9OWdc9dNgSpgb5yU8/xpLN+Sxz8ReSixA69O4RmRyydG2Pn7MoDGOfb
fH39+UfXfvVgfaigJbWNswr4wdFwS7dat6/VurpRvHqFrsMjJdCHfr0vN6eXM7/fGSsO7MkeEfE+
OUJsX9E5T92vweru80/1QWf0/Ub+84KaH3aHGHFtA7ppPkY7x41WyzbfBDcM2VOUxS7cfJd8Q5f8
oWO9VZ9opPmfv7+4fT/eVab+13P0YbVhqWGqU83TUV5K3xrHA6yI49AjOPr8fcSq8tn7fFh17NjW
hmHJoMmGZBONL/K0Hc0vs+bXMq7Rav35u/38p/7zW308TEo5i79RJ/0xIhRjDq6q8PL/9gYfznza
ZGemmXOASo2DmtAHdCzv83f4xQ9jiQfx3YOGLMsuUEvNx7I6tnm6rtSHpbd/8av86jp9WNxaJWuT
wUq64yR+Fax0zpSs/m/f48MN1pNq0aMrn4/jMK1i85inE2S10+dv8ou7y/qwKplBKM0059gNJhMZ
aOGnWXehkc9twahLRvU4hPEvLt1Pfx/jzTCGqQ/X4o+/D3RRDUxA1x/1/FuTwAQAs2tuPv9aP/15
3r3Hh4eGKNNWqiN9OhqI3ST5Ms9/0VX41Rt8WBLB4E1aUtbDUWbRphmdatkvLtPb/vjZg//hPoax
Y6tBxn3M2QCKc7gftjg93WW1b1aRH14ALfmF3/JDTvD3JfXPp98U3/rdo6PQ/1M6NWKPeqAxXLCq
noe8tzs+K2fLbnBPCxGXbN2GD/rStS8l9wp9H7v66bE+aXtO7YR1+HPnbotVtPnVx/vpRv5+yf14
58QNhJuAh065EBu55KLC1neFsnLTje7dF+4eZOThm/yFw1lzOx+wkPxi9RL6m09X4w+/O5QAM6qd
mVrCA77pERCKIsQ5ZN6VczTPtE3vParrwC3o2K7xf23slfSLFfpXH8H6sO9JExzQYqy6o3Rgnu/R
2Uy+klHqWYf+ddrCOj+zNujJv4WP2mrapBehl7x+/nS9Hbw+uTWtD/dJOmjoeQtuTbQ169oFmCSq
ul26uhl2026HYcpdjvAM70m18/J1tbFO0Lq83ic7w42esl+slG8Hs799nr8ed+PDJbElh9lQwZJS
+/rG3JiZN62X9XJGhp/7Eu5IqlnZu2pLU+9sWlm3vk11UPjdJl1fx54oEv4oDv5/z5NBtcYq9M+j
+9Vz9jwAoG5/ImDnhd/H9kLArhBNYyIywzSsc87+U/+GlZhJNk1zxUSrLjwyf/mFDZkXyaajKtqP
Rh3rN/w+TOyx/SCc1mXz34ztYfD88JALow557KDWTSIhVKjrH/oARWjDVhtshg9yFm4rUHoRTFu3
0cZDbw0zsSdqe4bbqwSJuaChnPoTZ2uocUX+pYH577VSC9E0MnxHYxQTjqaGlzOqV/DqeFoRQHlR
Z9M7qcXkcJzyU00CX2QwdSWPk6dWXg52oJ01hr61SwcKnRRtAJLeBxCTVwyXzpdmxuJRpsOWztk+
zImtSnVjv9gx2GndOjdV/TY0KkgRsX3pjFaK9S1GOd88IzEsaOeFd0Nu0HmKI0p0HMUr6JvnZmHd
T0EKD0fTHpysvDfpQjipcjZa4CSM/LyzkQk1Y3RbNAH8LSWHf00nb9GviiIhJll6VGlmhuQ+INKn
RdFUZ5VVPqBAPGpRnriRgcdvQkDLTfHcZUhfiwl7pGR1PkPUyMUzhwGzmWiDA03wbbuAQjQMRGgn
+UUzTuhsQm1bRgjaUF0fRxFIES6jsiFBdZ2YNWJypnrorIDiq8tJC8wXtatu0n5ejzbsMS0sTpNu
ruco38VqjonUak9mb91GdUAbRp8fzJiRXjwalcfQgpFlEZdrLZ5br1AtKJDLZTMV1lqJsv2kZK/R
ktf0WujLRg3nx0wNVmbpXFAZqsgwrO1kh9c1bFZ85syPafmZMxm60JjWsTXgE6pjP+6WxO+0btg0
vf0QmQAA+5qs7KyMN7jCCjfNyxe4IqWXdHhz1FphigPeRIYx2c1bUMGJSzjBl6bRXpl+vAKpDLdh
rR9DM9xNA73ImbgAP5kz/U4zUplseRuXQiAy2+p9bpi7zFDODbQfjR0i/85iElynid5AaM4b+81F
VBh954+DdBlX41dnScdmxQgiWclo6ZeaGbKFul6XapWghWrrmELDrTKMp81uo/ywt6qQ6JfN9Jw6
+g2psN7Q5r5MIxh/FkA1lP2lNmgreN3Dda0rtR874YRIEj8xOmYLuh32gC5jFqIZ2ZUzhB4kY+LH
8RIUjnkWDK0CH4WGMvIKnguLdFcbW8haEwNoYo7lNSz0bCXHS3+YcS0QIPGiCRtDh58BbZwsRu8N
pFu+S9SNeO4XVOk6OvpQXi5QflYig2widrc6BbgmolyWvUoYKUwcFVlhPnU4LNryMtZ1FA2YL4Dr
BLvJLI9TQI7xgEHDUcuvyDVxCGDdyPW8oh/bpp40SalXCYfHaAhfS82YJlqkDQL8ZHlShSWkOUsS
uuKjH5dEXdQBt8GQB8/zgpdEnevzQLhLCmwmU6VvCwU6/IwBRQrT17TnkVGLkntbDH0cLITCteJo
5DYPWXaDrfebI6wt4cR9B80dbVwR+jqBmRwtl84dwro4k9TJOFfwyUgxPOFpAPhiCxON5SwBkyKM
NRDXy1XYcPaNxuF8aFJ0ksKIkznxddRwNxt6qOyaLImYffCLTwEg0nReLlG8msRsQf9t84HiEseP
Vjc90EserGghNwRkw7gi6ylYD8TReSU6vy2JxJBKEZfO/K1eqy9ROB0ynEZyIKPwQciuqMM+ENJ2
7c1I376Z6qtJaR5Sx2hH3yRNMlm1fXLo+yGB10hFo+LRCKCcJ3FLMHIY6b8fGf6rCZRPa4LDa/MT
fIh4zfdyQLF+M+lF0jy17N+Bv+/LAdAdii6EdCbx5u/KAeM34igUpqHym21XoPW+y+H13wigwZ5k
GTAAmC//KxXfW7/gr+JS9DFNgG2OQ8yATEzUx3rbUqoQGfDCvBCSJg6PuMEPhr7Js2rd2ViD/Uzi
6rjGBgbAjeAzXdrnrd2L/NtYTR5jVemDiygoe6IEQJ3naA2SUfYryegt/EdNM54o54+VlsY3UjOq
NLO0xVon7dJe2lmUPJETsVzOxRyiqwhUxQ+RxiH1Kcos9lR9gXVat23o1WKITFqBlCfo5Dorax+R
3yVM+6ZsUYGKa71JhORaLaZY2ec59rHrkOAr0u3qIFH9rgwJOdVC2Yutgt7j0Jke5rRkI6Wk044i
oREYkOKPU72Qc2OCZR+w3CJrmc3F19qeseSsOqSIZr1m1ueVFUiLX+iV1MJ8W8zzfiYWyKvU0ryO
AUsJ/16VgNSY241SRWl3zSG6cXxTZE9NYOHUTW3xv+cQb9EyivTgqg5RaDFiLq1dDetC9t+q1f8e
UZkT2idlO7nh7fNPanZe9f0hBfNNWJusaMyW0NuKmvnPml3leTNkMU8nO0bkOf5Zszu/iYeXJ5Sn
25apz/96SO3fhBWeZg9RbzzZPL//AvKjipXg3cGcp9QiYe6NPsRHsPG//ti6IPspTEHd6xfpUlnz
bjFL7AhDpHXBhQqIPs/Bdkvq1g4EcbWPrmc91Ok76RWVXY/WLDBjd8zq1Ef7onutkctbeUS4Y08a
nO2hfObRRqtnxM+ovjh1a1HrNS1MSUwp7MkJQbnOHUeFzgf/ADLCbgkLmxfovw58cHz1AcyedHBH
KUe913SZF5ndoS8qB4lafD8o5iWCTY6uebOC/FUMZAvUIAIGOaelnZSXC14zwph31CjAKrLSZHqD
ls6pSfGOm+XZSZpLEwHPtodJjMlMPalyl533+lKu7dQosBBkpUcW0zctCJ/heHWrXLL8bn6lrja8
2SCYWSKBO8uL80nV76sixI5Iwb/lqJ+vOPxUkNpQ32olZ6HFdpqVMkwHxLSJrzbLK6r9NcIYIdzd
KLgD2qrctOgZm6b04DRj+0ENuWoG7bVj8pSOeOocWahVzwogtosBIqgPA3IfBUQJ0K0tiLdZVm0R
N/lTmdxk6Gm7rrisGvkQgcoN8ljwRfPLgZ+0FzRdeYqbYtNJir22zWqvkLuLjgNrqhWcyWKUO8QM
KyFVI0HV1OZSmSB5PyVNFqp+q5VhcQmVba42uYDWIciUH1jOUQSbQ/qCCBvsc0M4h9q/OG20tlRC
lUebf4778ZWqlX5pOzluPkzbbo6OegEKkcMduMgu+kbwTwPfYH4EkXXTLdMleuonrcENVC6P8ZA4
K9NoNd8K9a+xOqHyC+enLKqJSOgqa0UYC46/ZnANGZ+j0VwGaDssWHhnvVXfzDFfi/BRTMuhfRFM
LXjNaME3SFZQ1IFGTk3H78xZ3i4WWUal7gs2xNBliPAqUs2ZSx1T6EYE9MX7Jlg2zHERIudoRqQy
egnTGsleP8P7G3FSJ+xDqtQ+kgC4LXlsVoWNU8WekWVb7YKdFMaDYqa7adQDTLXSaQ6kh6aT92al
KRCUk1uoQKFvK4TrtWxjPM1AJSBTWCkOpq7cFxRobpQjChFT78hMv7VRd1Hl+vPQgu7OMJKmc3LE
XnuoNMJMOXEdijEjCU7ThlWCC7OJyCJPumHc1CTyuF1EfYkE57lI7cfFKv08M3ZyS38s1arrRTI5
gUb2JNzat5YUXU94w2VnfKCBHO+qyNktU30IQrs6BGX7YEIJZ6h/LZnmLtLsCwlVZ0SEeaUvxzxv
tmnJvbmYM2oJeEreoIZXwwBlm7STkLCQJokcP50cuIDDZD61Q7uL1KS/CmzIunGRrSHZH0zhY/pv
a3szY4ou8T9vbefl1/Ll7zubeNH3nQ0TiSjuHBtBBm0pMbj9c2cj+tjAvSFcFuZbIfl9Z9MVXmTh
OjHY9FB6MuT4o/rkXzBoEnrBbEPmJqRZ+S82NtEL+3Ffw7xCVLKjKNhCNfXjvlaXtd4RVhSdaky7
9rZOR+JUDOtCwUiPwjyURJGVVuXI+tJXi+wQ8GXpAa4LyABr0HdKdz0i03a+QVraknKvBc84zRJU
JGORSQeq55b8RbjnFJYL7LkT2MiYpPpaj6oBM6c64edcjIWU96x1Ap4sErAE4302CV/qYcqRHtDM
vUVnq4nraGshY8MWnhiCHEtK4bYGcJKsCkFFMusxay5CopNqDm7zaPmhTXySm9om4VhdL70a8N1/
Hwb9V9XR5/zk1vdes/85ls1P81t44ffbX4VDDrNRNpU/Er7f3f46USyo5Cn3/uAf/Xn7q7/JskzR
RxCv7gin1Pv7X+PoZSG4NTXjzcL8L+5/nqMfbn84kHSDoTfaJHvrusCgvJ9IIZxL2mwp1FMBrl9O
4zMrTFfa8Cut9u/P0V+nPL4JRzw6yA6dZ7TCf1NRS2z3ABfT8cSZMt11oWzrviEIgzGOj1INCZEa
LZj8XXnB+OesTqtbS0W0W0F9WI05bae0UVIsSMQ0ka4trzR8T65kVILd1DyMbYW32Y6ob0TsStRm
1xVvuFKr7FTKMbuBVRD/VquIDyXBRCcxhEgP+1DjnHYInFnB61s8ztBbTYNOBk59reoGIV7Qk7wW
UHtloe6yrXNHJyqOr/kQ6Vm5ott6TbfnSsqBJ0rGEc8QQUpjjDvVdnaNMxzHICcX1lFu2eEyVw4H
YgzF/tkP3aUhLetR7+8du3lVQ+spzOfHRvQ8ISlSnM3oIJvgYFp5vEYJtDWdAB8ouuWV1jS3pRlu
Y1sPV1kUHZgDfynGKF0PuVzhxYa2lJVT5UkQr92MrtNa6ZYnJc8BBOvwD23WLpTCdKE0rxY+JUu5
bVqyDPFNoImbr6y63xiOuqXNKRFQ0+Z8UC0GMVEQYaMaJNmRXZx3GDEs58npaDeSudXX0PPaXk9J
npM9JFJIWNtkQ6Pxmz3T+JVN41waeqqDgnycmhpbIY9WhWQ5zRT1Y6TE61TJTjXH8rWmjZsl18/D
EOR0p+gbZ+DaRiOxsZJJGGSFZawgggbiwhXk5NnTlvYuNiF+hK2DYLrLrtux32GrG7xGk1+YwqOC
H+e7LI6NzaQtFyr2bXJWYNY1S/NVydSv6phRO0/KFmz8DqaPQiE9bggSusxBzU9WaZ5ZGuxKMyte
lqR6iCx0zLlZ3lDCJp5eW+l27LWNZWGd0QIBcHYan1sMjIg+0r6ALf9cJDQC1ostQcQ2TJxKijyl
eP1mtQnbrT7WhSdb41qxRxEK0kz7LDNgWMykMgY0+XTt6yg7u9gAkrrQ83XxBQ93qaGJ6BLw82jl
Y1GZTkrspYm602haKqQAdaKjbdfPHMSulFR6BZyQujXFFWxFEVYz3CBm7GCWjF45psqO/EFid8bh
zG4410hYagi2IyekHWKCWMLx0Uys1p/C6jyM5WDVVhOHP5qKentWJaDBunY7jp2wsNCPZH8aEvmU
NOV5avLIakV6ohw8ZJK0WzLGyVEYRVibZvKghvirORJZmIyJ5k69chV15mYqu9eUIxr5uES3mNUD
mYSAhXaR3hzSTtqil32eEvlpMUgaJ/i7defsKcOBPbaE6PT7qhQ5khwRimalYh9Hva93dEA1f9T0
7QA9sVEijhpI1fEYJd1aVohxCgcdLxB8gakcvUBqQOOP1aZXiou5HB+bkuyDeNbvSGawzysp0eub
MiGwwNabYFtidc9+LzL/UVv4UZPFKipMVZxhmNxRTImm3Pvlum1JOQ1mcz5BhrVcfRPsp+vyHO62
Kz0X99Bhd4B83ODAMaL3ks2vpH5CEvPjIs7bk2mrUaupBsDfH9++CYhUkMx+OQ3WcxXsHBRSzvQk
YUN8t5Gefv+L78O2f/Y+KthiHAKAMuhr/Pg+TseeFU/DclLis2hq3Sx7dcKdkO9//j4/7n5iU3q7
nuyBqHzxOX+QsdSMU4xeiWTU24fGvKg0Guz6/efv8YY//njR3n+ZD2/SR7LcqhDpTsO6vYNW5A9b
+avt2eCgznPuMfeq8UHqrdXt7RHXvnsczuP1XesH/mWyH91t4zVnncf/0SvX/Me/+/zzqeJifvx8
Ol40S8MHyGz4w+fL+gXeyCwrJ9LSjsGl7Mvnyn24V5nSrOCku/tHZTOtjvV63GKVyA90KC6h9q+h
CK7ePsp/haTBDf7PZ6jH/stPmoPiNX/WkGDn2MEp0oTljVPKuxpS+Y3GvYwJjjn771P77wN9h3+B
fkPj7q23/76DT3NQUG4w9bOc2KLb+C9qSLDiP9xCb81BTGamrlOWMhIQxLz3y1LW0X+Yykm+6JLy
IXAKY2OmGmcfLLkkaCrVpYGRSyQqOMcpxU5clrgpulbfN4L2NBYTOfG6Ay2tAVkJogLP62huBpBe
mT1V580irapB1vElv7CVyURXjKB4IUEv5rhzAptxb8XAMA43fRvAh3HI9rVG/XYsmq0eR8VNHYZA
oqvqxWRIXPbVbaPo1UrHbuGaYf2SzSLZttULtx7H7UQg6yqEBFxcypq9URJdP0maeQjMkT7PyGaX
jxJKa0V4yrKaBkz3bPXhS5ATcArkRvbDuap3duHkbl1KVwzis5MDLsDNzchx8XVhEp8tywtgdq9C
4HWETc2naCLHq3G0r21sXgIUPdodZSKN+4dY1W660qGaS9RXytrJh+Z52wyFH4Ph6E0J7vWibIlD
+AoYBdJpFDE1mC4LORGGxce8CA/J4twoSWW5xgJCq1Hlm8pKVCBc+r6Lqm6VkRBHx9N4nvsWLIHV
PtgjbOgW34tbG6Y36vLJznQFV318GTuD4ko5Pr79PFM7w+j9Jotmm1kcAdwcBjLxdlrSXvUmldhk
ULctTd6uLBOkpwm4DwywZy1U1bUkcVQtHBXPtNNlLcGvZZOT7UYQoSMiCbOCcfpgJjulqB3UchTK
9UCg6UIan9SnsrvExosjYg7rWf2WlcZMDu5bCGKiOsdMBCMWBU6/IGXwi1ciXRdZUe1J8L2IRKSi
TLbiKEIWieCUMUmWgAp0zW2Vct836rHC7LzqtYUYnlinVBPBjYqBv0hEOQ5K/2SS7UjuX79qepx+
akQqs6DjtSEXN6PUc8n6ubNiUpeC8guYVaoHTd/rhXSpiDzJCBcu+ZJ9PdlMYSHFyV2j7UxSKCsz
30+dgU1Ku5iV9ELXwMI5mWO6MgmWMkmWRo4MphPhlpFk3TZdiJWa3MugUrFh2hjT61rMb2X5Kicl
k0PJpk6Tq5j0TLPPHqESfDFErKaSQiqfSdq0m7T3GnPEkEcKpwGmlrmytB8yDdGXiOrsRWgnWUJn
cq28QJwjzpNcz0pTkegqaNbbRSPncMHJjGs4DRaZsCMZFcn4JeJa+6Y4mRVmXHPeqx60ojp3QFOZ
drlOIq3FMBu8dPK4thoovFI21ivq7XKVJj025LQGjY3HvZiNr91IrlINdC63k7M6aFSyM/N0BZkC
U2f7ZCf1AcrVrZIudwqWeD4fNCUI1M7ogOAvUMCovRcuw4hfM8X7g/CgX+Sr1tGe5s6paJ+InvYk
TXsmc9IOOmvDvCA+G9L6GivOa1SlV7ZZEJKMzAC8rSYyvS3+ytJExjYneBoSBuWXJmW7PFcvE1kt
XFpaJk7QdnGl0kpXKLTRUtqk8HHuuyAIheSascyI2MuweIaEMKoycV+G/GIvyh/K5//2WVEo/vM+
62f/45UN/Ne/9yvFC79vtvQrRUOQRA2dE6pq0xJ5169UKJVoSKom+FUBef1rs6VXQ6Ycyi/RrhHz
u+/jchsanUqXEbCcUOP9O/UcGNqPm63N3+EEQNoGNSt/98fNtg6DyZCUAf6rXt6NAgA5wJ+RaDG5
VtI2J2kRmEgOpQ+GzsLuGFkNL0Wy8CESeNtKQ7HHaNYDiuEsJMOfRCZjQbKx8feDf1kvOtmyebzQ
Bm3IwO30vvTrwBlWTMFHpDLLdS9QlzgNImYO1q0DBZPTGxliC5wEC0ImhXe4bWBmdvF0HxCJDRy+
um7KCPIoMURbRQ5fiDa6mTT5QHDqsZQjHkEB5ZSbRFnPBiEiECDOMpasWSA8S1ieKKweg07dd2bV
HiJKA3kIs3VYm/jFR1N2zcn4YjaptAWqgUZoMuY1GRyvZmm+omZIPPJUyS2ALupM2kOhlsW+6rPS
BTLwrA7RZSSQpHzMF6fIL1JM5thCrJUUmWV5NzGT8SnxNymL+MaAFE085josiZEMUAMtRv5qZoo/
Cap0mVUbHc601YxXI77KLckCNkMrI/TTcVm8JJZMv5emCwuevxvDro5hWA8CZq2ryhuSp8SgDOoa
StYG1MtOM7unXMCwaw0sdg8fexGgbFue7+wMn+tpasfwrOqmhfBPjp7OWSRV35Y+ElXGkPht0uuM
PAFN60s2bfIYDWMdJw78rjm61FL1liBMcKEzs02VTK0lTLXHRbZc3O6O09/0ZhYeGQxW+0XO0QtE
UrqtjJIEe/lKQbvFYd5Ga4CIz03l+E6I+zBy4wjRJARFWoh7tjJh2BllxzFVKk9hEpBqRHQegpAb
SwLUOyZAdnsakJm51/uCSzznXpBM95URf7W0/CyQ8PIWSo1UHse7a0n9s563SLh07VFSsyfaWKBL
QmszOzoWqijZqjLSQKtsvalfgMVolHaLvZ6L1Juw7RdZemYGFhl1dPvteb7Ol+KbnJU2OSy26WLj
Jh41ZUMdpOQFO/aDQarGHE1XWdSdzYN0g2L0qeNYSjMOo2IvHUDOHGUtuJ2K5DCPOb9WoN6FOYPF
qAlugsk6dAlXqFJDfa1V9IdS2zkWqv4YWOMtUl0gbCGowAlkmmvF8hcSNq7GBodX1azVQCCSreFi
VPQrbea75BRhTavsTBtXiW3vQ9CIvYlhWTK+hHN3J9qCYWEQ/WyImMWt1uRwO9h503Z+MHrb3iSh
lLtpzKiYZY45Ry3BL5xL+CsTmQqIcB6aNt9rDt5wTd1F8nLXF2QpD7A9VrU27qrGiFfcsKRKS9kV
0ctfKi0npzXFz7+Y9kbtUMkQpmr7Qccur0bUD6XDIFpHXJpUebJDnbKaWvC1KtnSYsVllVJK8uGG
UwnNwFXrTl73w3wZyoB7FSazMpeANelSm83zpHdeOIqIqah5q5r6uabXyUrrZyJ65yrySrHENdEC
o16+Vp1inVkR8s6qhRVFzrejGNk2RxOpZB0a17wzV0h57vslvFZk/YuVMxwPVfs8HaJgE4aShF4o
u1IsrSHjGs7grFpf1BikAxhLSgCz8mcNZkEeq7oYQ69T4mjhOQbXSb3gom+UmyIe4DqhRXipIulo
lsOAl541Io7vx2i4IKxwmxv2t4VWk98h+yXnWSZ3u66UVdwaEjKGdsnvcwLNw/MFEyshdUPp64px
MOzmxhE82kaQaZelfCqX2EFuO2huB742GABcWkP7xewk8r365gQs7BiBvNVA304gcBXBwtWKZo+Q
yU8ZH/l9Z1yCvj3vHal1TUHSTUDq2qB1Zakh2F3Qdo0RkTKSzxsNEG8cyPsMMG8iCL0prBA+zfLg
CHhvPd/lxngJY+rE/cBFAPObg/tdDISGnUgMH2Roo4IJLKAxBZBgxWz3MtBgXZ5uCxRbATBhE6hw
5XBGs/kvk+ANg16k/SkYxI4ZqyQy48ouZLUjpYQDS1xtC9DFjWAYW8CMw8QkkEDwjQ1BOgZ3jC+h
SnaLoCBL6bgr3rjIgpBMqry6A7wYe47gJ5eCpJzKDQoWQVcOCYYkzD75vRn1X1WmfFqVnZXt//y/
InzNXtu/12XipX/WZcgY6WaQFsHAWJOFr+17XabQz0DnDLMXxRMVG+Kk73WZ/ptNr9Jk9sZZnYna
OxkjsiqaD6ZsGCqwQsH5/xdNkI9VGdWgjEhKxpIN8sSSxb+/s3YltoWWp3CSY5/7i2GxA270+v5d
ufqTtujHKRpoGN6F5iuNOny5NuO/H9+lJg4bsaKRHLsyiTOvtOWCBKhmtleBpqZ+orWom2ZVYYxn
c25lI1xlS3AYoA1fyVV0mcWszEYUn42yjApYkQyWf7KuQBJi3A6xD6n5rh+i83iAvNsrZ/IyXraz
el4v5WFqtAvEmXs5IUQ4J/vDTeTaWVszFgM6wzPSHecrI44RMivAoaTjfJ9l/bcY4aSLIBibMh1k
ytSA1xPQ67jzhMBlP0oL1uJxsrxOIuA9cQAssGuX7FZdIa8aVb8L6H9trMzQnlQOva6kyZBE5DQC
89PXVebDwkphhyizN4t0FdiAVUDLQCs6C3YDbKW5naeN1UONnQjTAN2tVZp9t6g1sfXAzTaNtJjG
RilHpNmUwcAwcZMYeTcTmEC5fcHkUDrn7xOTGbO+YRI7lFKxsUs99mhE0bwQitXGsqH7Znq676fa
tE+8X6s9GXNotQd1LofSC2ftqmRoP50iujHsJbNzcBrT2g8EojwyRNbvB4sYBDubl2u9K3p9Z5eU
o5DYRL6wHQ0oguSxdW5LAr9cE/mnL4HF8dRqilARgSCh1zXvBtUYwPz0CNC45mdFsLTPLeDeaSa0
a57oqTh1vJOYUfhIhpnrUWleLUO/T2QY6U6pOFchdTh4wSgmVsyJ1mWVy6sp1b2hxAtXx/fE2w5n
/HSDZ9bx4jddoXotJR1y2CnemxSgPkjcZQNWRVkVTqAfW7hYzLnqdmNqw3bUiZGNJrW9BMKk+LaU
n6PPQd3eYnfHTaOXxs6OejzwZrYtSYDxQk0+tc54DdJtuA2Hyf5WAoxrmTaZ42R+K+PeM4ilTYNa
uZGlfh2aHaVfmfqOlBOEC4cLw4gLm+lr23avOMxf52S+q8HuNNqwd+BjsoCQMLFs9Ek+n+3B05xu
iwL6jJO9FzbDF9noz+tcWmdA5LUG8Fc/vxRkD4fl/7J3Hs2RI2e3/i93DwW8WdxNFcqy6D03CFog
4X0i8evvg56vNd2tUSt0v+1EKEZScMgiy2S+5pznvEf6YITSza3dtODvM2d8dlzxls+ujRw+647o
pWKW3PPJLNjKxea5Ww8hM7bnmpev64lGw8+xIahjS+GxH/T5eYq6TVzQGTR6s0JVSBXUlfohdYw0
NCABM/q94m+8gVsHUkrMcQifo1vboy7OE5v4VwiY131edoxL4NyYE2/m3tjlzYTkMfJ4lxXqLOBD
pAMPMoFzTb5/8glXtKfqEaneOnO828GMr8umPnn8/xFsaTGM10kgjjlhhJhQxCaOoQ8rLBKgbRCV
tcxssCpcZFr2UmXGC2KYo+iI2smBeQ7GNXaiMDfLsIKm5tjpuskbdTZ73h4CAmCVRL03QKAGXFlB
S/IXobFEksmjX80KShf5CL1ffRQq8hCVMctRMZWaM1nZrgnqHeQv7WZWWrP9/ckLdYWT9c8tybeT
F408YiQCIviq/8v5niiDfsPNxUXVZOYG2L/aYFXLQjbq+akvLJJ7xoieEOcTiYufRt10102T6Xf+
zNq/mqaboU1P+hSFWeA96lO/axL3q8zSGH4zbCCaInpYhaFz5j2dL/6hyOlgJZO8ZjejGXp+vx+r
6q315mEt0u7B9BIkpUZPDasTh5yT2dusu+lg1Bn0C4hCRtruTKrpHCMdoQUfKi9uBy89DlF2Nnf5
sRnMk1dXpJGbwa4nUynslNibU+KsWfKu3Ugj8dVOdzHPTtjp3Y2tBmNdJ+5RTwI+10jZT1EPdjxt
p3vAmMSeuAxzTWVe2oIleeO6pNuJ7Hys54ukSw+ZdHaOBJ0mmG9G3zjjPkUVGdRbWsWNE9enPC5A
rpWQ4XN5RpbUnnuNhqiuGAIoFgdpe0n28g3yMMgdUKtDt9QAQtbMytr2SljEKBcz4r+2Te9tZSPZ
nMQrs54zAZ4eU1uNZHLeZlnzkTU6snjoabbxTFB2WFi0AIG9R0B8bnXI3oJlzkkfAmf2I4KWRu/W
rFym46ssL9iP18tZ1p+E5z6Zes5OmbA6X8ueVWEaSFVVtrGT+NKaHSMsF0cd6Hp/bxbp8FAhbTgT
omnP80oWh9+/VRdv8C9vVJdNpk+yAGQYFHQ/lwjpjI+vReB7EYEutdJjy3T294+wLJn/fAR+JHI8
g20Tqx56S3+xmvxY6ljuXDoYeOKL3MVc5l6KQexFfUOqAe8EJqdusw3Sze8fk8Xvf3jU5e/+ocAa
6qyvbUvTznUFv8U0QerxP7gVn2Kb2iMJSpBMvgME1zqMQ5khzelxSJUQBHVTVOuynZ8qzTuJ3tbX
XZFs80Aab35ie2Ghp/cumZMh8KEzL7efXeJHj0bOiol3U1lthtkrN36tgXmuRxQvpVKHYfKst6pE
KmDPsISFEO8579VNo5Ouwgmswp5ckjW5rrfQWucd5+H9EI/mgWy2q0T1Hym0aC6lu65tt24nkXg4
6d7SE22T6lQouSzLHWGM+ropXNCj0kEZKKabZcVQCtLLGyt2V06gznjTAyqVBAPVAn0IYghp301z
+mjr2dHpK5IFMoo1EWHRS3u0UC4KnGxOCV1vwlJFZkiOJIyqKOOU1R9HwtnopQoYztOubGEYRjPv
YPJH+xh+JMGdVcrYu55TP2zz6LxGAxSTKWtUBOz58XSLKYYCrtbuhh5kvWXhQ5y9fqfVDJ5YoLyy
cSN4orhu8Oq0yCjZWhyJyyF6wLH2XgmHtzaM+1Il+ymaAPi3w0XtckemtXNoW/vTb3TU6UzVGsfe
xbV98uR/crx/E1L87j1OR/Hju03alBgmcs3z9FRexRfallDbB/RIB1RYJ5+rZ/1uypVzNM7LF/kf
MBHfCIn/+uAsdA2XREOsUT8/OGYdHym1rZ2TkboqT+a63qIRNc60R2/Lev7+UlufHscN6pPxlX/k
F8QSro5iG11YLOb/w2/z88X3x6fdQiiBaduljfpV86F0WdiGkSYXyCRqKBxCf2zH/e8/3T+fWf/6
GL+oENkNklCQ5AmX62fcoui6/v3P/8u/gXw2z2PXvSzQf35Ci8mdNaZfXN7aVcOArXWoOf84of5u
33UWDP9+qbJtP7vyrzYqfNc/O3eCPmmzfeQLv3buoApQIqD/1l3a52/t+ffO3SPZHK4ZUspF5fpt
2fJ9o+L8Az0thBu0438IGP6bzt3zlpf/z8/b4kAkvSQg1A/7IQIY65fPW1bkRjD1kXeBt+MY981Y
nvfSVAAei7GuK47bYd75sgMCnhTx9FCRTqHCKiBtmKlu8jxZ3W2RNCpMOu4d2Q+7RsYhcjUEfDpd
UWXk7qoK0jdrIctapSM2SgNdWc7OhRGg8mYl/kwlcFMW2aMcKiO77r06uc0yQYbOhI8vQmlA3xvr
QrvIotKXq2ZsNm2hxc+q7pOrKEqEe5XkyrtySh9Noo3/h/YQekEVOlGhl3eup1nbiDGj3HS03f1l
o3WJeBiYo49kyMnHzAwSNrpZtRdJmiom6O25TO2jHJwbJ7ZVGHnlgz7nd4Mt2PMm9bu54BDcZHgr
+llwlENeNay3pITX22r2hTuYEA6mhyERztpin6ONWqgVTPDihQJg15CjfSXxJpfsTA07ecR07iOn
zPBlO7eZLy9TzvxQaeKDCc5dMdifuk3H0RU8KY7fX3ug16nwCCGQ/PyVCVj+RZGjDPJa7PUZKWOz
KFKL3L/DzmhuqxJ1RGktcO/U3CdkoJbj2IaFFAcrIeTAKRJvVVJhkxOXlRvonzlzP3W0avM6Mgm4
nq0ERoJt7qsMPabp024HajIPagSlTh/+oVdB6A9dsdYiB6Kp1+2KMniFZHrmBt5ZZ+HqEr6Gcn8O
biGtj+sg6bZTpH04wbzN9elA0OpF3Lo1jNA2rNvZ3YMMA9sX1V99hYDRFZIEF614l0nA3ajKJ97S
Pd3b6O3dZXPH2+sai3+PWKa66J1UY+0TXeUBauOYVLg4MW6iWkPaxUCc2UbrrFNnRJrBzDxxqqch
pd6u4v7Y8wr23bB1iGPfTQ5gDVdvqs1cguAd1eXUOI9G118EvbhL+ypbC717KOLkJrGZGNT6AObf
1Q7MXK3VmLQ3yovudAntuQEKC6q3DpVBPxwICiWjja6GaAa7GmkHa9Le20ZLQt2us51yaItmI8jX
ciCDO3a6HcM30K+2mo9VzepcVcBWfUeu66G01nRjSy6WPAGp+MhzcRSDz1ymE+fEy5B7TSegqsHY
6UEOPTpuMGDYRWgb6Wur13Krgv4yaO2nUUv0NR/1cZWqggz7gQBtRZ+PEeRmmMndIVJi5plZed5E
f1bSnvTZeG/KudxrNu9OmnW56nLxmStzZrbtPTnSuTWR+h7GKkOc3ZoHBopA1Gm5k1EDo0DA3Fov
bHsrm/RSxC4xw9lNkY8XccJ7WyYeGZ1pRgZScGXGJQTjnHWgrAnbRiSsVk3p3kmDCHG91b8i037R
rfydYeKhkRZj+rhnHaiZn3anPXSUnuuiKB4K2ZsbMxhulWIuINziuVL2maNVyqGXUXAsj549uddW
6hPeLTod7n3SvFmS9t10GH8sEZiD05y72tRv5ozl6Di/tZb53NCc7AMd51odeFfzMJah3yfQKlqX
9Rp+OwZm6p0UPbzLXn+blPC7/VrP90qv1GrwspSz1nqBt3/bF71PSoYPPGOIZNgyVKMURJZTCh0g
INF7iJ8/xxlDeOmwGErNMRyjyttnWRmsR81GWgHLflXoLFylLd9RoIPX6kgl1iPpXIjJAajUNcCo
NTNBHNLcyJL9g/LBphjzuMkEMVJE05MbaalQOClTxjSpzwtPHlQRvYDNxbCq2cXG9BiqTBbv1rpN
312MPCvmkPPGKRkN2JaCF902h6q2txkdIYRlN9/6PntbzsN5V6bNS+s727LVdrGMdhUbt+tEEy4I
YsGwtJPonsgp2E5aiWmSDNhrtzTrrdcYhya2TqknAMMUqb9jzU22qefr62hU6pgMw9LupluEXtbR
rC0YLjUEjmyKy31SlvP9LAteG6m0rQMCZ6Wxm1vF9Korpx8PVsF80zB8XIrOeBbnwTEK5jNNzAUg
Z9aTUQa2pYCnmXi3vua5p7ljUZsMAGdY310R8HFXmujzl2SaLbGhYjUkWgs9uX+HUz6iirP93eTj
81AGpGiERRS7eXLVC2wpqIjCrBLjrq7nM9zGJ8JQQxyTV8wJs42VNqgBkRishNdekL/27sMIyrsI
PYEXsGV2NYckWYfkSV9tIjdGnT032DB0+WAM2WuVaVd5K24zkk9pE3V3k7YGAjK7/swxc8aFbm97
HFxhK2x+pGBuJXNSYQTL03Ggxw4G+DWGPoayaSNGNtlZCe55n05p/NAkOQGm0bPLLnRl8tH1coh8
Rf/sWNrKSfqL+ptpoC/eIzYUGyNAwR8U+cNQ+VhiaPFWpqZdzzrSRi0X50btRASeZmd5SyVic6c6
2sgBZhifE9Yzb4hOfqSKHa3nEQ9uEDaZtkqd8rFQ7cVUokFyVVGs2tRe84Iem844c/LiQ6v9Lzmx
/XURQJSNto+69BOPzLYbqn7XefWmq/mqrLQHPdVPc3xW0N61gwfOJXsNhvQt6Th8R02n+/cOgwBM
4/R+vO7c9jh3ksVrxstTsGhPUW5MM+9nWMxstU370yJgnb7XuxVpzL/MAT4SECfa3FjZZF8DSiIb
jsrthQrsIKZq21DpYO1wj7NTkeBB5KDbQBsL5KNh8cPrqVrJKD3LEJ3srKJ/twE/xR7Sxhq0iu4V
4GXKB8PiwgtgMDiEorAxsFClivtWSrbJHdncWt1c1SI4KRbvIaiFmwFuBOIax8A8U+yGCtjDaIJW
MGQBvJ7YmY4E9a2I+OiUMz4YqFS3xdjwp/mg2RPqTgb6YoM5cKke2oNnJUep0q/EcMQ2lj4Cv3RX
zbsOGarp71pVhsZ0Yph0l+QjzijbLtaMpndpOhI57FHIWPObhdrUlfGb74qTbQ6YiSM94cVqXknF
HVeTKVOHi3hsz/j43MUKVQzr1wej9tiBLLrEduMTk5fvzSo/jH0WRr5VX5duW5BNWwoXHo7tGBq5
Q1XF5J+QofaINUYWyFYk7P1tlY+aula8OqXuCC20I0wW8exJNgZBdqwIBl5NmcanTWt3cwDIs620
realMAEyTW6FXYU2yRFhNKIa9g1gFv7YsL6PjQ0Lq3urLW+l7WJ1t+yvJm0fSYYh7IDCS4sEeF8n
OCSe/VqX09UkAqzMHgb4RPTFmrqrW4Pab1aOXJSq6Bq4ThR1oc7F1nGl8fotrx21OaJGRnzJqUES
TKCQHU69dzH24pLYqJNBxhlZBemrEaiwC+yTMSuqm6p+425RUADydVb6950QyGgH/XOOCGaZUx3A
1ujv7XG4AkGWUORh+qaVWFHXyNCNyo9WFiiYEw3QUzVvG3IZ7Sa/MeGGs7Ia105RoXAuolNAgJin
HC47p+v2A0MS7jcekHTndWbnHbMT3E3d7K7mOt3VJtUuosaXrBFrO7nMCFpKGY7JyToQ00g2rk+y
RlcuEQj9ZeGkH7VCGxsbMNcU3XGsXzBQ2hIHeGGbly5KGw01Z9tq8XHUq8dMxoc+Ec+919/XAXOl
BZbut7vJ9RYS+pq690I15ouojT2AUE7GIj7MypsP6ZC/8AveJ8tm3qMW3CR9Lc44FV5spJCPxcxa
qmrSsynJGEOPabVWxXwuRwXzyjWe6lHH3pNd46l9zWofjltHnJIKnnOnOgkreSwkEqZvfezfDb1O
f/vvG/pd/ln+BVBo+abv/bxp/MNn9kv8fACO5Ftn/n0Tb5r/WKbO/MdgrY6E8s9NPLJKXYc28F0i
yZe+9/PBPywM4nzNDAzdwNv03/Tz+A5+7eeRCSC15Gf6Psk3/LifhncAbzxzGvzg0ixa9smOMde7
9ht/wtIYxYPmL7roBclRe219o1UUC7hihmDhpsGpLYOM6yJ7y9AJKYqF0QTwr2wbYQgDMAJuW2s+
lBMZV8MYXNOmfuWwMtbwIrgOzZ3mmTgQBb1Ks9NjEKUl90ut7TWRvzntRIhoWp3iVF5n5mIT7Vs2
i+4ep8Zep91dWcRuiYAoApFCHTeCC5MKSJg6V3Di5NuB7bYyxnZVasZbWhirqRkZi/reU217B4b/
75yH59BDcoJ3IHE8B2Db+ojdO5q9T5QCYYZ4kSV7rzgNq+aSIecW5xzi/9HYN311Nma0pbLXwUBY
WgtuxSsPaCv4a0syaLpqfmRicI4suaAfAc3bZvgWTEYCiY0A2xribZvhXzfa2Nuk0nj1Myx6HSbM
xkbkb1TDczFFL0OaUvVXl5NCmKgVkbMtOrNGvlMepCD7PBAsWgxMiKEu7XFVFX61IxfOCul9CxY1
AS5DdV042aGDh7iC8fChitFf6XguuWcitJEY96xYvcKfIejdML56Uzsa43AgNPKElR5PQEBhNkJS
Y8oyyFPVsldVNt355PYnogA/C62UT7yeZ73zMhfuOXypNVy3q7xJ8TpEt5KAdHiNbPlDvHoNMSYm
2+BNSY5WvKpz0uCgr6HQb8BYE/GTdwx1186Y7AR5v+jXYywNJkiMo5dV4w7fQHXgean1ja2LepdE
fnAbZUgm1rkyiEFsKsYBo6PsXd06dh4S8BvvyJEliNgrW5Z5qC0e/cr193hK9Ke/j0MabAfow++O
w9vX9/a1+Cz7v5hxLt/5w5mIzYrZg2d6TBARef9TnbQcl8jCGVb+8RW+6/uM0/8HiiVSREyL/6LO
ZWj6/Uz0YbguvCV2zSAeOFH/mzORSNZfz0Rm397y2zm6bZtM838+E610LLu5muTllNMW2oMgE24k
863GsFp4U7/ttIwCgUHP+CzT4qyGtYPrAx0fFE2xjqCEhQwejZs4djdkIxdcv2QDuUwkz/R+fnUi
c0Zw0n9Kt+k2XkqiTJ1Ht9aguefsaRMKIqvZ1szqLhjQb9I4eegZRUoqza0I/GOBtNtuja9sUg8y
KZg7ZJdN3oZYRPcBA8lVkALNEAXrpzQ34tWsEExMut2t44BELm6Bz9TD8eVqL9mofcoxaUhVxwc2
ScUEtSo+CFGNOfI0nNDjwMwJBpHMZLkaA3D/iU34A3pSIvpGsIwDS+pBVQ9JUV2bLoaZijLJU/aw
bgbSIQG5DTG+5wPMnRuKt3Oukc+Z7C5VXrlGLWkAMhL/3O08pY8FfUCEtyUpnbsRNs9KT79UDBhL
5Oa13yq18rGfbMa4u6+03lypoV8Cm5J8O/U5DqkAdX/r0lAwwgl7bG37zteRuuJt2ugl+e1zBRu3
EOjkuygNNloPEMvuiSrHi70qNKDZg5bekJJmhpOJ5D1VNjmTAgu9U2nWedtkgpghUqgy2vnjrLU3
VTcRvqZV+o4I8QNGZIFCphdbUp2c/RBhA3oovwlRzUWTmnaLPDX/JlXNoUxOlgtXaxJyw574q0PY
OiFwTfqFW1B0vXfeR30XvLTOLD6KvIL6EBh5sCeRhfjDzjUuPR3KbbckxcdLZny9pMcXsynufQLl
W0wFlM7ExS5Z886SOi+X/HmtJoneJJI+KNHMFw5nZDTscmYOew7/e20gx35gBEQK01ziLSTlHvtO
s/I6s7zslnZZ57lkl3o+JapidymAF9hetWYIPF2VChGzP8iaxPvxrWNScOZl5ohoOPkE2kVygK10
sKrGheZXUb/SWdgVGg2jF/TDvkUhtjdbN79t3Ca/HCuvvMtM1bPoFMl6tOu7yu+Bb7mYCQawoLFw
9pNbMuhF+M6gZKiIuFeXsg+itWYRG1xkVbBxhCnPergjWyWQ0fWKGjmq100iH3yFvdEqdcUot07D
2KZZMSdbO2haIF+yVEoa1SYKhd+X4Kiq7D2zHJjKg2xW8I+PmUym/Tij3iY+dgm+nGuGKdjFrqVl
RCfCff1zf1QXnesBw8g13OgVI132JRDLdX8Ke9rFc82fifs18JHhWZz/3rf9kd5toHz49+U5eLm3
Kv/ouXnKXvTq8PF//8+f3/fP24igbTZqqGFxMqEW5cr5Z4Vuwwx0DGe5+bheFn3I/9xGkJVslmAo
nHD4eqhoWaP+z21kQxTXDdP2/tzT/S+0sjb3nQ8TyrAD8DewC3++i/pBSawZjrwiCjbm/a04cHY/
PClXfyzvfiQI/EGu+XOpx1+BT4tNQOBCZXZx+P+iUjGQqadp1tVXloTv0nFDdBAdEssskV/obUM9
WrlTdj1XwvUvkiTxnqhYzeza1x21TvRiMo+mW6Ooqg5NMp1ElONgFETOGgyoZ2utVH4VOVqYV9pB
dcFea6rbXgduoRJjMzfezSS6faQwMyZEwpWiN0LHbo5aLS81P3vLVfaqRVE41PUhzdMnrDqMl0Ry
GfecNGZ+8BIwT8bUfjFr29VkuqJUtb2daLiFNNgSq96R+2Zk5oGo696DXWV1a/68p9jVDzpymJXF
cd5M5SdcKRS6k43Hp/iMSNdG+Ff3uDyJD2u6dgvbDiGXJ0O/XLT90qRZ8PS3JXzZsokPN+zybjTi
Y2Sa9+1EtWmK/jErSDBJlHzvXPuo7LbcNml9XiYTtsrGs0JHRM46qtrbVpQouOyqxxZtnRcxrrO+
s65zCd8PxemTllrbWXrThn6ywAXaf6VewzZAmNXKa6qrsrLPPNnam5pKZJVnTbp3deIzmWXH6ykd
cEHXJtLI0SdVup4fjaJim8cirxq0G0dquGXM/E4WweJFz561prVXpqwPgdGnF3kvDeyz2bHTRL3S
jYZEYz8+xf078SPbYGBWWUhzbU8NE8O8fIxmfL9R47MAiY1j6w9t2I/ejrDqd1LmCMRQLQx7+93v
iiT0U/HlF4xzYtufw6YPuDzcL1vINfngn6JhaWV0RAqaqEsNDMBVXFyNZvdmpCmy5yWDGBTRgRxT
NlRjvxX+4nWjklvbXS83tqYTWVwOV3g07pEPd2st7w+JRVnALvU2nvomrAg1WpcRThw4uJQY3gZb
O/sQP701gfnhbmFEF4yPmc4ESSj3K02DF8dATphImCgWbn3SfJPsvCzydh2nglvF0e9j1dyWtlMf
k4y0+hwre1Ih+zam6WVMMbDWsoEQLnk+PG9+ztwIPg795JiWn7Yh3e3Y6vdZnDM3g109ab7ApdOz
T9G+es1/1ri9kJAna9JS2JJPEb6hjTe7FQxdS2WH+htZRdotSdNL+RqAaGrunFgSIOqSr1ljFL7P
QCYcHOqvK9eSd01j0hPVnzDSDiKrEbxX9YfRN6xJWZrgdmG7k0l4oa1ANmX3Ye5GORPshzLYTDuV
qPRUVMxPNe2mHdJg6XzJew+jAvjmCFJA86YqbIO6Wne543CF5uvYqqHWWOc2rFNmAySGeN265rO5
UM4vusp7SnznU+iwDzjWGra0xrYgqnNMUHT59usiMUcrCUJ+eI4HKjbOnJu2NDaA128qwzpIpK5K
eaGrxQ9mRoC876A00M8CGV8hELxSRXI+d/12ZuFKyfbB8JAYay8Ns67PNkWkrTOA6F7XIuBk69TW
44UHvJFykMhYnIps7eWqChgbp77G7lC7VH37UIgg20Rm99n1ydZspket+3QG3omj620tO/WKdQQt
EutgJBmqpIPStI0+Ku/BQ7G9axrs2mkM/97x676+yCzrqahs2Opzg6C2jPV1nnJurbLKrnEZOLO1
61XVrv2cOYFvFQ8ZscJtL5+kzB+6RnvGk2hd64MzX3HhNds2b14b0zgkrfUxRf5lM6sLXPNxWBZs
VRx2UKFo0PBpaS62xVwEd3i41XlcJLcijt/YfmtrmQ35WcvgkuEH8tqIOmpt98lzafIqyuSOaLQ0
DCztOIzd02BUM2svq9hGCySp5vdbjYK7Zx1knAGDlrthBznwUut97c5NWSEqFUh6CNgXfMq7xyjo
Bgp2r9jzafbDJu9D2x3HPdpeuWNTUlE2V2onS51aMQdoG/dskFkJOXuZB8ae2coVAQ03nZ0sw9Jd
Oi4DEy16FxWahtk17hj9PLXGdBs7rXsI7OGpwmy+IoA1uvj9tbuIS3+5dOFGAX4H6Q2veBka/iib
c/OhxtTSDFeVDwTeuEz9O5ff2mF6RTjm7x/rF1EXFzyTR3pFA2CChxho6Xh/EIR2XTX1puzklR9t
ouyhUaRIP/zvHmL5FX54CHjFeS6HXF7VfDAVFupkfLHr2/+PBwkYfHpUbFAof3mQLsmyKS2lvLLa
u4YAHe1CGw+/f4h/fVl4qn54iF/4LD0bxdiwJ3ll+7dFs50LKMrysvReU/UfHmkZI/z8Bvj5kZbf
5IdnLE9Gp3BJeLhqiG4ySqQT5nEoGORvxuI4k6X0+z9s+cV/fTjwiI6N4ccCgf3LVKOP02lue0My
kXsylqBc9y5OzlTx9O1h/l4FGCgt/32vgVPhsxWv+V/0Gnzf917DoKFYaGRYZr9N/Pkcfu81DPcf
Bp4lj8PgW3AQ3/V98kWDYlmeTvHPN3qBy0nxffJlElcAYRzwJV0Cu///Kl7gL5wblmOjB198c6wE
AG3+/JbEJdGWk9ao88lCcbalHfU94PnASL70GSk7pVav99zuFuqgeV+52TIViqaUE8y1s5vIZGfn
48hljjB6amW55nuss2CsgugVJuVtFmXFlcrgEjaza24th/EUjVR3XrnuV1L73LiFifS57MQWKYa1
8TpCYHpX4k0rDOc0szc7aGXeU+6jWcEzQWj2Ok3j9qLGi8JtEpzQUWVnuFzLsKul2rYO1WzfEIKe
w3tcg5dEGYaK8cIe1TFzxMmv+uisEHm2zbSADR/LDp/aGv4OMEO1nQIPpUvPNdxQ44GA8eqwmbgR
Gx8rkW5rzzmnd+1O5dFLhjvDTXSKHfa17IVrJm5Ku2hT9x3C7YI48oxd5aRfc5q+sPzFYW2PRkFY
Oljw2k7VPZqHCJFSAr7HYsKdpJ99PJvPlL3owVAobkeAN6HX5bgkmGZj2gjK4AyrubFxpa4d7XrS
T44o+50APbmK28E9tZ5HekOc3tIJHWSi7rQalFRll/ZO96trz0W8Ai4Trrduu5SndHFzxh7e1iU7
E1IZTkYyQBJQMFtIFY8R3ulWdtZHyuh3caEpyuS5bd32MuG1G020mOeKhHlkfrERIRxL+UnB2g80
2Nl+0KA+ZJLvHOpemXeaOeTiAJRoPkJpCi4FlvRmVc0+C/KAJyG6DNiVs6vOgq/RCLKTiWyQTHQs
fyP3dPj36fVtcm9zaPz70wsMSf/Z/uvZtXzX97OL0TxrTMMEfcdIhFPsz7OLL1HJIL9F3b4g1344
u1hXGnAQocMQg8Kdza30/exaBvo2UmZgMP8TovZfzEkIpvrpfkOZDP4X5KJj2kwzGGf8UhuMZmn2
jRaoS8cNui0J2eWm42TJWM0B24QBkk4OUmAHPacTAVSSCxeF2SfwJnQOLTQ1kejOaVoIa2OKBGhA
0gellypbWUSVGH0AigA2G3P5+tq02xpxXq+dMSp3dh0wt2ChD2mO/l42pDgR03JdiIrN2cIq0uqR
TgF8EQ63cV0uRKO4hm0kKjoxumgLwVSMcgEEEptENCaFxE8TORt94STRMiHiXdhJRjaUPt4xiEoC
tJJt+J8S1FIFcqle2EutvghJFx5TvAgu5oXRpA/ui2maN8FCb4rAONm+LkNkMGG3EJ4iUE86yKdm
YT9N8XitA4Mq4L4FwKEEkCidsTgUCn7ZmfYegMkJExEKL+mcz7X/MS+sKbVQp3xzPFMLh4qcqYZk
CzQRCZKUgIF+tlCrHPBVYOs3ntacI8Z7SpdkpeVyWYuFeSUd9TYL88IQ9N/Sr28IhCMoK7Ua/6qz
fE3ttIFFRA32aR3pzOAbOkrfAARHvINJzAOg/J2p05kawdYgBmL2fbFxvPGsnJyWvtJDfNQpkAVD
twDtUrbTviQkLCY4QZr2I5Cb82HJnYB1uRknkig69Rl57sY0gQOZRFVgo/oavLgKvSXFol/yLIwl
2cIn4iJqwal5S+pFndbXCTEY/pKHYSzJGMmSkUH/gkWF2AyW5A8pMRqDXuBjdFG/AqfZzs0WjRl5
qhaAB8O9nmT8CEkmWPVFdxYvKR2jRl6HvyR3+B36NjanPQIRcj08suE21ZL1US2pH2KJ/yAGBGc5
eSAEg0TSb0O8xMyaCQ3Rl/SQnhgRbyJPpJs0EXYakmLgI3Yo+yzb1LGN1XDJIgG2UgOQIJ8k7mNU
2MRbzJVl4s0jgS9CKoR7DJP6NLODbxBJw80GVCuvoY08g2Yn2nIq/A2bilPhmns8Mxhj4+ByKrsO
raHprL3EOOiUCCu3xh0JJoO0hHy6rCbt0FZ9u1Iyeycg5DEtoKYoeZXaw7Qc/58cUhetGSPSk/7F
KB19k7IoXkVdOZ4C1V1hWv9IbQZVXZ3gM1dvMoWoaJa3GKcRzDrzc970+qrTnHjrO2m6rbkr8YIy
HKia/8femfXWjXTd+a8EuafBsYoEklyceZB0NFqSbwhJljjPM399nrLbbdnu9psGvgAJ0Ogb2+oz
iqyqvfdaz7oyA/Y0eqKv8YxiHnHbdu4GuTRTDQoy0WlsTdFNEQYDN3WUrrUyucc9d2/UitvU2yik
40+5YNME0g1Jg2yxBRXmOcXFx7jWjkbQH1wvw6A0OmsRlgefQ8GyK7pl7xi4gz3tsa2mrVI/FDWA
nEGqHIpAPrQzyI4ksLxdX0r4+pmX7QaDC69CcXUyk8LVCF9iWPTvtvhlWzQpuv5+W7x47Z8+P/26
LapH/bktqnY/exzxnCYzhJ94o2xTinWmRD5SsPd9O9J7HzhhMwLHtEYty8O/b4sezwf+DN4GpYAa
LPyDXZEy4S92RfZCBH5kiArexY8neoytJeSaaDpF+aU1kWdj+tOwGFvvbpxx5ekTRl3PzM/cOb2m
l/gMqlxbSm1GQB+m+EYRsi9k6x2axDtRWBbLURPPHl3OtPM+znN1h8D9rUPIUmkYMSJPPqZlVrJA
CWhJA+FcZnZW4DhZ9qB14KhZF4NeQV/ApLgApv5RBGLeWIXgTvEryA0gSZHLPySp/BhM87Pmw+bw
E29Hl/QuidrL2rMvIpf8L92jPk9G2A4jKN6+RUOpBJ9aczTcGEh63hNfUvCZ4YhBf+Cwvu/ccEN1
5SNzyjd5qN2jiV0CUF4gKb5IcVbPyo+RSyR3ft4wmGAPjqOKg37qqgpgwfEIr3N0ahKEz0FUTSS2
ZKuoh/NklA1pqCMu09ii4USY0yLItRicgvOYzdjgBWf89Rjp6YHxHxPUAZKkRn4L4EaSnYZ+lUJ1
XXm0c93Bm5lHdDdiQrA/185HJjBVsgyi2r7xZBe0HkaCAlEOxU8z3xnDADepd/FYrBzWtHCdxm2P
jnkC4wPkP0jtlV+gnK84JbgCkX4zbfV03M1DD1+tQX8TB4Ss6Xa/lDNcct8x7mxJ4gZ8xtcyds5T
vfEIjpw/zTaVm2i4cEK/u2vz/FOUvta+c6gA/C8cu9kDEAd+ImOmvfmuMHVtHSYlvDEJTE5HhpxM
1jEM9fvJFoesZCCTOdNTZTjVHeaq6yCzrw2DZKpy2JP2sR3j2N9Fjm8ttMjfEaAEL6GyjlMHQsHT
SrmfNE4ic+Z+1PraXYhK2wyeiawbdZOCj7j+sJ89J1noRSlo4uUrr9fYgqpyG0WMPShiL3PT31gd
kZQaXKS67j7OaXqfOuYbwuGMtNfqgSIJKkhyN8nwMcjqS4SX0XJs3V2Szw9NnWc8fbijCpbLFGdD
PraHrJNczfH80KMdA8b21E7Rmunb0YujFY6eR7xJ7cq3cOMmOhrTtFZesfoubBDdlh1iBF0mxwSn
SDnT4W3lY+XRgKeaO69LeT2HlG6Wf29M2rjVp2mZdd0n7AjXaBY2Eua6BcxsLHV4a2I2z2K3h3Aq
coRa/YVpBZsk/5xQEHc9PrRG2Sci5ZdQyFqgsJeRcFYu+ZVgNsHatvBtKbvHpS/Mp0yhbx09aZc6
p2ODtKpF30+3QoFyx4LgI6uWtzkMXYzHj7MbnqewdS16wXAX8LFA3cVgt8s82HlCVpjPMy5A/zaN
ieoj+O/ViZXYozduuYwfpIL6ghEkKUJcgRwl73Wq12QWXxY+zq6sMZgvBSYTFT93FqkCBrst6GAn
GVOaDN51krCuhAow7PeYspFDD5tceM8jFOIEGrGvsMSEqPor/CKgiqfKW9excyzdxr6c4RmjhoZs
7PdVfFPmBh4cROlBggekKM6sOXg2cuPQkUe1y3xPW7eJeYFRLlZHjmYzpW6+8ZL2FevVvO5kmKxq
NU4hCMJjIMeYEZsb8wSHaZFv12ezAffONHBh0ZEP2+ua+AviMSDczvYFKP9jkfEpo6Ra4WKEKDZr
NkQPEtXDrFvSIfq3Ev5j9s9e+/db/h51yq8bvtqfv234hgNbC6kAu7orf2FrkV4D0xTylDSgkH/f
8CWNPwTAUmBVVxo1fvStDnaILGTy7nKAgKz1jxW9P9fBgmRyTOhK0Uuj1/lyInjXVrbCtOR4KduL
LBGgiFQy51hkTFWvJrOf2SMjL/RnAXGj10NYbX0yrB2DKw92GxKiYWlPkZUeK5f97QQz08FIgJrH
gcRtjKLqGDSlobU1JHNOekR2GhE6pvkx3BXN94r801yLzr6UXefV+UrqZW8fR8cZWEEMrYqbJ+g4
9TzD5CPxGrMEBA6vYSQd1tu4Kb3zsNLDfTDWnGmHwb6rCrL+XMB3VQfcaWEnMUP2auiP0YSbEVtt
fiHTpLs2RDI867njlKBJw+C5t+txkzZ6dhaJpGCoW/gXsebYGzCVIfZPgzwBd7CmK0Oa/h4Dz3Ce
5HK4MKDyrWospMWAORhriFk/uRFi1rSlZAYT5IB4dOL2FiIEThOUamCHU2/bh+nALJyIHYiC21Sz
rWt31tP1qDy2aaePNrUqOl2nbTFuCn26qCG4bhJChTZ2aWB4aBrQpWz8ZEXOfburfB1unlGSqeNB
zPpkzeV8Gc5zTA632ZnPCeXksauaYD8hqn1Ak2SRNWziAysZ4c1u1p26LnnhK833lSeMG6Ph9LGM
yVI6twdMco4swouJSENIW0504URNs/W8lBV29tyLuWJmllWQQiDEq6o0mF4wmKRn1GjNxy4ruk3j
xTmQ3Mg8B8+QYnoNmwRbKLWOAdLritG4tqELSC0WIUXE81EcEYP1x6ZJDsgNZzJWNHdT0Ux4G+BI
79wyCw5jEdm8t1hq5yi1dEKPGrKDigkPatvSzKwmN9+WAb5UG0YsIkywGIvZ9PxDWmviIwP+exi5
5pmpueWJt+9vtIRknKYwsafVtX6a5pCcGPID90GE4wgdYczguZyuQ7oBq74ZqvUUdeM66Gd/0wDy
Df5dWb+urA59v79fWW8RryDC+nVxVQ/7trjiibDpCRrEa9kmYccMqb4NSEzrg3jffPyjlEKJZaGc
kxLa9Nel9fvK6n3g37meaU3+Efn6D2opMlx/rqXwcOHJ0HFeYL9gVPJjLaXlwDGqqskuc6O0uaTM
zqcJ30V0ERcEyMHeHMeek2cqy5eqzz7NxRxuMaDe2OhCoCc/Tz3BRmUX7GoIr1UJXgYKT7rqbHkB
bIyWGd6fRVGiPkLHgeQ0mNANlKKDbwpXRfMB9fRhu4z94tRAxdEEln7HGz6Ta1yswwJXkYeiH0vk
cYRfvLC8+Fz582q9QO5AkjOnE9HjcOBnNPM/g/In3qCrn3ssYnOWUBWY7rM2GptwaI2FHIOdZB/J
5wQ3WBL6C6caHgdXu0vbiYUkMW4sp30IGHFvPe7kLSAkcQpYl2EbeC01SoK8ZgqeELZA1XI4zuC1
uIoi81Tg4CJRyLwhakbZX6Or0eRW151Xu8222DqeGjs62qDSljX9Whh8xxrcqW54u0yvHzor2hdj
J/DGBQ9FIx48eBFDwTDGemk876U2m1M9R/dOMb4ktputTEufV/h0LlFjc8hHDJZhrwK7iOJpJvdr
MyXRDWDei67ULmar8lkmqQYmkxLYqdxsH6OuWbBLhotBty81Z2CDJGp7AdtYklhvHONQBNtY68Sm
ClL2sA63VzPeiUY7sFHAPJQtxKA+Xuhedion21vSMXX3dZmb2wntgouPC+dsFxI8n7rEgIX1Ktbp
94neR+7VmXSUU34qJ3NXE7/ru3KTRt2l0LuTXrBro1attrWd4z5kfBUkyd50SIobW8gBrJS0pfR6
j8y2Xtam5m85OPjLgYxc2hMo+ma0RW39HCNoFr1zOQT6PojluBRmvLXj4i4j6t5TvopkFndtXC30
LPjYEDQldBNxzIz+zOkEWcMV+EM02g8YtEuowHS2ZHmvdR3tvma40zz02jw0Xc+pVq2tPrmZNHNa
QyVl0zAIlGi0jKZ4eW5P3imxUaG3MCMWbjGcdWM/rEd3LE5yyALuldpdxUVkfm0PtGQ4JMh9n1of
Ea/elD7C8kapwuL7LgF/G91ZLUJA14vgPBrVysZxuHSx523zps3pPNblbjRMf2kV+nEqh3NyJ+ZV
FkfWCtvPFZLDcD3l1bySZnaBFiun1zAiebPooY7BvPfH4ikZlcXa0m9s66BNb4mOoFEL0IiT/mVN
Y7xCard2QdHTM3rTDWReJOW91bP+6DXemT6kFyV8bZMp8cJptHAtwGgvpqy6DsnMTmFnoTuDcTkf
7A7ffG3AJuTai+m22LSypzezqT8FGlqoor1KS+287eNkwyxwRXzIOXxqTmA6HlknB4AVd4m+6Lyw
Z6TbvpU4hRbpOJDAO8oncGufOP7SHS20ZGEWTETGwUU23U0UN47mIjyyH1h1gbxNNRqeVLy0ODQW
QJqiFQvysdHqcRs0XbcJ5/7Q+gjozDq4FuH4FEcOgkQ7YTuumpRec2ssG7vaiUys4GdAhwjHm9ap
6OHE+TqFkYo7OzLXee7U3HQFt4QrznGix+ti9C+KFG643fkjXavgxid1uyi9GxCaO2uE9SpygM7d
lALyABYSGNUmaN30oR5IJvYHoJzYQHAQqBvbie+J82rp3w7JhmWVvBkzfB5zMkHBuGyQwR9Y0K8n
u+h3FZrXFRvAFeRoaMqEyPUoLrahTg50jwd34RB0R+/qEPrk1iRVegbQ8ypyALqYMV0F6Hv4CGpj
nQcpj+37G0eAvJvz7rkpYvDiKPIXTLRC+iiVhhFfe/Nsg/0irKMtg9Qryphn1HrBokqlyzDD1Zbp
SCcHCEB+AWpWGbvQebiZD+ltouqc6E1ZJlKmEGgjZb65dcpc38SR3m6YKz93XnRflFxIg59vpjbA
fsavnL4yh7+BnEeC3fRgg0iZ77SPxB4uH5MTGx8HfhBuGiflW+rvwgnnKXviso1dMuKcBoe7dAhe
1CYuN1cmKw68XLGpmlhp87BK7Ph80kgT8wdI74GO3F5LxJ3TTltsJ5+dwrmMg/J1NHi6xo4fhCDL
cqg1xRfMzwws5xfSmc/Z/5G0YE/TDWNPvHdNGWOCbSDS9aFK43TfqF6lyY2f5ta9NtknFOOfhyrd
eH58x2avHyNBKiz7/76JgpOMqltvTnaWRuddhj2cSdrzi8kedr5j4SEDUF/0NirWGnOIKeULlntt
hcgxWFKyzJupcK8NP6vWjhPaOAjGfF2W5Hf2aefv9Xp6EhoXQxv2JohF93bMJfWIrx1Q1j3VsYSv
R1TRGJfboip4vCwviwR/NnGewVozkNDGo73BefGI/00u4kpcMuf7WNhi65eqtxdYb7FOqK3VG92C
IiZcu2MeboRMmXIAWaVnRcxuHhst/paJRtFsPIoGEK6dINwu+cXWGqt2CCNoFctpWAotfoLQdJ5E
Q7hsQRcsq76EFUn7wm5r8HtorTtLjTH0ZBcHICoiF02d3iKRrkzaRgApkYV77ucw0PDquCQ79oal
L4uMnM8C3WBBzAarqriHcgk6PEAUnVXabVgPd7XHjC6PvGUxpGddA0Eo6JglBcxqViYK3pZu0tpH
09spcW+me3c2at8A4fTSUgLgDC4Dgj/uJwt18Bho6cpEL6xxcuKGREI8oCUu0RSPJvu5EhnrqI0r
oQ90daPXgWaoVoo3oWu3moVAWSqpcuIlb1KJl83UfOlRM3vs5DAHnJeml1s6zmThoHz2c4u+oxJD
jyK5DzLCnUhAMJcuiukY2m7gP+voqDkY0PvFSbQwuvhQOjX8UByOFwAZ974SYrsosgNSXBfZEN8a
NXT4EtW2zDyxMNFx24AdRs5clGEzHcOyyNeVkn1PThegZEEKXilRuKvk4QU6cRe9uOtOEJqVhJz7
7k0oUTnXDLVPYm109OYlWRyEMhhXqZKicy2cWyJq8SrFJDwn5Y1QwnWH8T7Hy5F1us7PRyVvr9G5
G277Aiy0WRoo4Cslhc86/Y7s5sM4pbemEssPqOYLqT/3PbleIMEx3StpfYHGvkRrnyvRvT5hX/eU
EL8V8avH2TjsSUkp0erPGdQMJd4P6nlvouaPYvy7CPxLpfRvOOXJhKUvVC6A0Bvkll4IbxKLACyn
N6pVps/F+GhlnPmUoyDCWkCY7N7HahAm+ZOP9SBuu5ONFSFTnoQAcwLUAnZKi6Ggsi1gXxgdAN4+
hoYRY0Npe3sPowMEmctWGR+UA2KywnWIJSKq+7MacQ0zGfAwem8emhicQPXFSpHms3iYvhgsKs3p
k6vUacse4oZYdk6pHb6UXv+q9CyGbH9fg9485f9tUz/lL1Hz8hdtPvXgd5Uo4zcgiAhLOHAp4827
ShQFKhM6RC1oV95HG8kPHng1pQr581Hf2nwg+enLsQ8R6/xVCfMPilFVan4XcyqxCx1dHEj8x5Oq
nKQftKMOEFI39uv5NHNvuT6C93bx7ou5/Ppc711B6hm+vwKeIJ4VfrMU1OEcWb+YZN+1ETGxiXIs
LeOEQGBR62gTIo5+n9Fa//51fvwkv77OT7KdQjPKqo4c4+SoiPf6bJCff/8CX0TBv/skP41AOfNh
aw/5JOaIitC+k95bgQvP08CW9JQeIG77x7LbddFlWyDYiF7jcBMEl2Zx1eY3waDUg0dBKJHrg+Oz
r7r4ZmDRHxm9//6dqq7yb79zuh/vFcFWpPkt5wm+C4vYQgZ25X0HXbow7NNAq8H3EwqANwkBreKP
wGyWv38DX0Jcf/6qDASlSpVFs8NUveV3v3R4skbb63I6Ue5ExtIAjXCW2KbVLqfSrkqV/p13e4QW
h5qoWacbro0UoNSQc+rpdW1e1gr0Zpad3kMA0w8Djs56m2YPZmYdiEDBNW1qsXE3WhmJu4kXwyNy
20Uex2vkg/uyw3rZVxujnVYMzrbhfOpFtM6QnxSoBjsxb+vRu8wQ28zxxu8eVIJlABY4cM/JsAav
AKyGlAeOuXuLAFZJo2MCoZM4t0VZVSthYYamGI/g4nRGdyb1bI0AaKoeGg7lnEJpOedHo7Wv4vg8
HrNtT/jVHf3uRWkRf1x4ty0CSTt2FnGPq8qJAntlR5W70t2MTTVJH1uN7TmbqfcdH7B9YJ/9/jdk
/dzd/+nGt3+6XejbwlEYm/mkb62dv5/P2ntrSx/hRAv9jKbxElLRiubCxloe6gM5QqvxUdsnm3ar
bwVhufH579/Qj/qCX2/fn6yDNhgFmalLtkj2iN1yoHPNgpG5/h+WI3Xp/3xlvl+OflrwoGeSfR3y
OnRs0tvxcxUso25pmxCC/sNNYPz4FX/9SO9vAtUGfHcT4ExKa8ujSxVaS0RURLWPyzpYDM069pbB
iUnp77/Cv1oBUU2inlBGT6QaP75eJrJRSnjYJxAhFArPvXb5+xdQT/Dzd/f+BX767sAGyLwPTPME
8V0dEAcN1VfyHz7Ff3qRn1ZZb/TEPLm8iNcf54rouVtTfPr95/irLen95/hpeZzYq+s6c8yTyb09
pqhXxDUpMh5Nki8v9F99OjqPXuqiKd7a/6Ge+aUAABUFYfu/fvxr8/XvwWuxemqffvjL+ost+aqD
JXP92tBl+HYiUP/n/+kP/zA3307l6//870+fM3TtUdPW0Utr/tprV1kNvz8eraLX4K+ORjzw29EI
qwJmBJ1WqU6cARql70cjAxIxvXbcCI7S/Co11DfJk/WBY4tOJSwZUDKk5Db4djQyPzgWFgfP0zHb
qRHoP9E8YWn64XrnLfFkzD8RQ9k2hgld/fzdDUwVEDZh2lrnhisyHFVJ1cJK7ISTcIzPhhJlUj/L
ukfgXprjKszJj+kKBWXMgzOri+VTEuZLq61oR1SfYpkaxuVgNNiV4y/i9Ebp1DPSWw+BpcTrldKx
W18k7Uaj1xpRgCjdM9/yD8kk9HaNIj42biKJwuI4B3PakJwYiOG8toDTXJVZuu1Fnr6iM4hWBQTl
dNnZbhdv9dg1Nh6T2P4aOWC7t1OTluY8h8m89vWpQ48jUWjIKtSPZuf5x7qqWKPynDFDOHpsBlXd
rsEgRUf6KfaZ788l7jLP9566JkcuYVc+Gi1pQ6NP8rC7DE1Cjaf8k0yCl1igZcF4ki1L4byWLcGN
ZN0A/Mgq+zNuS9wCgJCqgDCwWXc2baJ1nwbkXBgAdCgoGAMNJP8EHdBoce8NPMMrLxn8lzES/a6x
csaojEXOtMTMdolRywtZdeN+Lstqazt9saxhKlC35qOyP9IKqWHKer1/zi+3XAk4p83Q+Cu3zY5u
R66v49fyfHKceQ/rDfqJ6YHl8MItjRxaGQFNCGty42XREN8mCcjBiPDq2qFG533eYQc5WXEktpM/
ELzYqKx5n5K7sccHO7QJIhlmsjaIPSLth34izQ06cQOWzBElTAjTwkudcVXT6kKfUponnQb8jTY4
1jVZTvlrrNtsxlWU32M4BGscVZ9zjlhf8fP/1cvW9rW4ANPT/LhM/b+8ahncwX+/ah2jPGh+XerU
g/5csbwP8BgcWqR0oL8KM/4s5nQcCg4ENDQdX10N3xYs8UFFdrjAgGgoO6ZaZr4tWEqyQeknsRt8
qfP+EYRNUkq+259ZFT2WKojvLH9CUGr9dIYyfKudklI6F+EMseQOtnia4QWYMhLEQ62TCxd2WHTe
uIn1UAJigJU2pFe6Zi0JckszxkYjt2MrdR+Woiuaap8V9byaZG85TOEa0iWbxj8MVgq1s0iLObkq
oKeXQ3aNTvsTXf8W/7h1MYmcuUgOcn2WI/jrKnwuZEh3ibYf4gUUS5POMA5mO00XlHtmMq0GeO6h
4T+gMoDwXugx8Nr0C/k9SRlIZgoH3zsIn4pVyLOKZdFNbX5ua5PYTWSPRnbkE9qZDmu9zSlx8r58
Rjf3KehjsWwF7WujzDcNhBz6hLSwYm3H3dOyHOTPulXHKC18JjR2dhcF2ot5XubTeQGgaLQkX086
YxVI/Vujcq+yQl97U7+N5yujFXdD39wLN1jbYIa9r4fif29EVW78/Y14QzYV093u13tRPe7bvah8
RLbAJ+S49BaoZ76fHhjx02jhYEFTw+Ku+H56sE1U0R7OSUUAI87A5lD+x80Ib4WpgxrMM5FS/kj5
j04PUt1t30/L3I02aUASrgt3vOCtcLp5f3ow/K7pkloUl2Oty02uevw2Ux5i0YddKPEIgIlmCwDQ
fuJD6EedhCN4wQSc7sGFFQ9R5jfnQo0jGsuqbmLGojtn7JqLIfHLz2XrZ1upph9hCtxT8USjZelp
8LYzQxsvmzojbiCO7UdNJ5LN8MGTLX3fSFdz7ucXSVB6n12NKdSYOqfAMBgvwzzfzpx07hj0OI9p
L+ubwXS687YJ5R6/EOGAstNAgjtQuqxObyG7NOZr4XTpg6On+S5wGnjgpd889dDa1qGObUbWmGlk
PIDoCPvyalCjuA6ZQBAFJRgHw4ZSpRFM/VI0QWgfDeZO07gBbg/Mfm5JfocmrIJQ7LSr6FY0eU2K
c8nWGxhjeBPicKDh29GBnVsLDO4FMy3mbDp58ow1inRwJXVeXw7ayjGDNDoKLddITewwcqA0q+CH
Dx5HI398FENqPWE4d2BxA4LaBKFwDlMHBawdivmJPgAlT25G+jEYUC9HgeExIumDZ66kCHrvPD/5
TTi/imh8YKy0yYPooEnSkDNDAHd0mAvDoWEg4RrdtE3QLB3pkkxnSTGSOdMS27oYswJeRDQE0aaB
ggC7tkcDD97g3pZRugc8cGclVbgjFYn0JaxLWKHqdifiRty4YZntWw1BfqlX4oJTm77K8DjqC7N1
mCGiYHttyFB71uSgHay0lfS+M2gBBlF8LZiIXtOacY3/vmrhf0Ql/aECHXbp56zurkKSzeJTgLp0
NXv0xkc/ic9kzNStQY33aPhgu4ZZTmdNMhePczdqRy7eYGnJnEyJoPYfgK4Pd7ka3kBzjm60aCwv
QzX2yUm/IomPSTps3cY21n3shS2RGU4Dp3PCL0OustiZvfnqCU7bqXWQ42CBQa7JFtQLYbyCBwbp
Sx4CLf6GVGPkhv93arn/Dw9FlMd/vxafPTXN61+waZUB89tKbKCPUrYQiiVMk1/62H+eilBVqX/+
1uRmEfyut2KSrzJqdNhYkGG+r8SW9wFqouAZJT9U9pV/tBJT9v20EjtU+7aj+pDIwUDe/rgS9503
apx3htPEKUOuyfOMQbtI8NLBFOFyMP1jO2OGWk9x3ycfjc4AukrdGrX7co4I1+zFnJw1EETmdTya
7UysfKmWQyZNwnkZcZUzymHSPq+Zd0ewrccalpwReG+enhntzdQ0jKGg21EB+NM8e6u0LAblqdB8
bV5XIjAZtdXJALB9pkvLBLpDkLHOTCZSa1saMGcVKRztY2JsmYsiEah7MtjuUkMLxYaI7H1kGiWk
c6ykLA/9tButqYvfBssdNwGBhjqZkTEMClU870JSCA5YYtLnCFztygvg2iymcurXWopeliQ7YLAh
i5yeaSCEkOw+9w4i1pnUtW2rT0yUnSqwt84UvolBsxdZ7r7FeWrjMQwo9vD9bUstBjLb07bFmTIc
wwAQvYs6F79LZi4w3geYFTQOX5KBtQmxlUwY3NuMCDQG/MrPz46m79zaZq31YVAbrpKGzkVwKGst
vbRVBG46sgi7Zf6ayNnZWqkVrAHW2lsURdFaJ/8Wj5skIoct6jLRmegiaIDAgNQiq6qB/NOCAbBr
vYaQs3ecLrkseqRaNIpJ+ikCjB1Cey4TP9iJOe3oYxdoM+r6TQ6+vy1NbAUyi/tmNdSEg6etyWgQ
++TBc/R4ZWphjKGT9ntQiAK8X0+nMUbXIx1kHXKYrjzPd7aDV2TrpgudRTFkpCvUtrsYOh8o+Vzz
Nl3rIc0T3AJVHOAqQUuDvgFut0xJIy/7atEBnNkSdlRdQYjCZh8M7ZVkQriYJ6OCboajdo9oNd3M
ujeum74gI8Uey/VoyA6GPgnj/pgnOyOFbl758R+ziH+PsGqQ9/fL5vkTKtVfz6/qQd9WTSSq1Io2
B1ek7yybPw4GvwjvoTt6uN4V0udbMUmsl6mrUR1lnqMcf3+eXy35QdH9bGo1QOE2BMJ/smqaXyIl
fzi/Uq+yrNusnLwLnvDHVdOlw0aUhz6frCz8WHFgwL8+EeWkBiDGnG3cSmwNBiTOpJH76H2El8Rm
3AHlQklwG7v2uVW0+4yRDOwnhhhSEsu0jgisvUsLD5eAqV8FWl7v2yEKODemsfaM7YjFITfA5B6l
32f0bHIdCmYq413TEkOV4eG90vMSoUAnboZExR+SjOQ5WAjG3FqVIQqAaixup0n7COzpDkFRt9DN
GWVCPeyFNp3CyD2AAF4RtfNSE9jlJPmwCGL9uozNS/SnH82+yVdha7HmtipIFYZq5+dvU42MPjSN
jW/LYGXWBFA65njCKPSEMGhcOb3VrfD5fK6GbF61OqnA3uiuA70lqqMIjU2CqQNNu2ZP+wGNzzIc
gqPRyZOVBEyRwuPcyaVuoAPtsxAVIyb4ui/vQ9171GCiInWyrhJc760DkCtCsl7H811bD5u+M8oL
w1filOLNRJTV19G115X9oreyM8QoeyObPiZNd9SK/k2vnWmlaxMmZMvqFnPU9wtNS9qFlSa7qtGg
zYViiWHJXPkmoY8OyYgnk82BpQTzYN8OKCGKYdkqyHmBvJWQn0lbu0kyL/OxNMATy5dwCg65ZUzb
1gd8TvYZdn9zzxx813X1yU9hhFhkpqBvrauSTUt02bZlMoymMM32VoudvHHO2xFvmVWY5jLEhWnr
/nOCEChJGSQr93acj0+BYFjEcy6L1IMPqGiAyDooTLQnvYZzWfdkYRkJvsrGe4UXA0KVL3bt6qRs
McwVZ+lg4bPP65uwIS3bbLPiaJgByQjSi1dz3e2QbAH5Fam9piJauVlmbIm/RevG9X/Rke0uNXuv
Vc1H3XF2emd+HHqEiEHY6Ku2MQ3iIc34jNMCPk7ME+vQAcjk90SE5WNsLy0k3dvJMPSLcrTMK/iL
chcl/dazGScOwSFLsP6PlfkE7MdZAaqJThL13dLDgDK5GcKtZiCXOkqXzpA/T02xMfvooQiw0XsQ
54KQ32ecTinaE2CDTCLfLWqXX1eD98N9tQZ8XyO+jrgofCCC0cQCLqpOXu865KU1Qq7XPOOUZneJ
/Rn54n/M1v2Ll/A89JJKyG8AGP2pjJ7KYGzoqNqnpHnuksupvM29r8PQf/coBWD9+z3qtkMAleWv
v25T6nHftikO9wBZQL3R8HRckE7v2iz6B8E2o/qXeC3et1ksV6GmsK8Z5lcWLr/Vbz1P9Cv41KVi
o7G/qH3v27TqjwuOQRdjMOZcf3EBCucvrg+s8SSMEmaBPV6VEe8vQYPTaaYVWXaanfBgGTjJeg51
Y5LT6AAn2rNXLmI/PbdLwEyMj7hHiV0jiiXstD2bzsobzKvcIJzPMg5DUz4lnf3oNypkpj0fZ+Ms
IKB6DjmsJ2S0LUMZPDZTetUjoliLLCPoWghyX6BJ+pD4lrOBpD+bUo64SdgAfW3z+8IKjx3IhrPc
yi7dENajp+ryWWrL2kueycvaWL5xGSJJZ46DmNuLHwaDZazIxQk7drcyO/LFE2OITp0oPouiQA07
4uCYiTNbRn1isAu7Z20r95af3SIRf53s+byxvefUb26HqS8guAfbQnQIUNjzil6cnEIe0jaFjhQ6
d4Q8r+ai/TRQTTQ9p8caj91i8NxL26uPaVbg4Esu4gG8hWb4KMmGaMlAS1sYtXbvZTBsCgAfuhOf
ASzBR1UC1MSzus+dlCxICJCbUHjZRgN1OpII5fTdmd0RllhWV8RRbTK0opOEQu54m84ar0nbQLNK
AWGxu1pGiKROe+ht/5623kZ0aPQ9UB3gOLLnaOruSo1UvwzoJoax+GLq+eqqhHMCWcaEa4rsY2Xv
xdSgECEkq1hYlSThT3c3/sB+nDliWE5dfwNxdM2fYeOLJl21Vf6x42341cxQK0JpChJ960Q6341r
LP83e2fW3LbRdeu/curcI4W5gVuCoyiKFCVZww1KlmTMU2PGr/8eyJ8Ty3Hsyjm3uXnrrSQ0DBLo
7r33Ws9CZ7qvOn6HOIZRGKskHhajoxKQbZwjp9j3vf+K0iVeRLZ9axb2WdFpJMOJv3QzxEGtJUIv
LHGvRDI8K5a/wwpoXloFAvKhim+RCL04KhABP7vOwuSVHepT4IJ0hKeEupmb2pa+xj5AFYfJZwg8
oYNBM/GwRcL3Ulz96zJqadVAuJySjWp220Q30lXeDuNKr9s3B4fj0rTn8EJRPlC2rFytTC+RRlAH
pKjag2KCWD5oNYB2gjOUOVFrGtB52ppbHnBQ31UTpLayRTauouMsIkVji3GcZdbmLcVdsVcLfH4Y
JNetUz9EtriEGnfOu4Lgloh5oKJN0ybLkannPucYd0S4iXf0qcyrG6fjh7eIdB2t6Upt/Ve/U7Sl
0Vlnt3TObe9vewPGseb7O5EoDlQjmqkMYNYDZCQsDfiX9CCBDdrLHlWzRHc7jc+BMdUelgh05Hyj
i0aRFw0BqWpiYzASHLrSLDrS6thEk56txuRM+auFPn6UYHpWkvG56aAdDt1tkkK2H5xToutEawYT
cnedswnKq0809tBjp/QZpmYdjp19waChX5QagIjW4mRBA/KZ33W8MGtrVZSluUhwiVEvmm/6UANJ
UA4DQ4xV5Iz5CsjOM0bQ7Vg2lgfegpwwAYyGpphYjBIluV71N6QiFgB6yJP09cDlYIdXoO9SgvNa
nkD++Rc9Ja5ytFJ/kZgU906qnLEWvdUZj4RpZxHyWXFXyuqqBidJOQ6voVSPgsSwOkbwr+icf/Ke
FDRbI9JQneSlr6mbITf5tfnG91XOTSc5T1Pb5I8mEQNrLB/5MogcMLUdI9B0DLY+xs9toQFqsKNi
47I0IhJfVwRWeGFoHqYmPNapkVEdq84S9/BNH2eczc3iVNXqJpbmbTmxVhbajRZUugfcTdL+E89B
UF6Udnihc3PLPlKhZ6jtnWJPmucD3oBjgWFKWjzUHKce6eY8ygYzTG0G2yBVOP9p7SpjgVuYTXtT
OgTUyYTf11DgQmEi83rS7BYQGz7TvGSpKL0idI8sdBtGW9lCN+tb5r2fEr25l5VjLLER35suPCVN
7zVsLDpn+zruIP+HFmGe8PuKgAZuClBY1vFNbhsb5unF0k+0xz7BjOOCcbJSN2buTelvlPbClfqn
zr7u64vJf+ixtIXGNdaoBTXaJ7TfdxEsXFuD1mfnxZVeMjErU60m3ch+01joVxpyN9wWvNocOLeK
hZxZ2FO0gvALr8w0SVbuL+syPXeuvhVDyvIbjStaCDd0XvdhAVk0Ctp70WDcUavmomquOpsOhNUy
3xMB3RgjgsruRhu9kkRdygimxLRJU0mYOxSYNREXB3cUyroDurEGggIlF58fiAPMIaQlo58LLtCC
ICmynRCWWRHgChpbGFHmULyh2woPfd4wQkGEbon7uMj6DbkUEIqbCt6whmXGC0kxw5FIYk/ggK+K
SIdk/brwm8k9aoYsjuqkwKeqG3PXifCKlofjPLfmOG6mAS4j3MhqxeYRMxAI1pmlHfQSumBeXdg+
jw7G+4VsMHMp0jQ+RaJkhehoYxHvukUbfmWadbDNQ/XNGNU3wls+s+XE2FoGAlZxdDgCq4DKrfN3
rA2tWEKXQMQAzsIKQnhjsQ41CmEhio6HcMg6ygKoGn0VriqtLrBeTGu7U5BLCHsf8GWXnxv1QjP9
c+KLraL0+lUkKSbLAQxam2lekqp3fP3s4lr6Vg7xRacHYl1Ww7Ws7U3sQM7C9A/AZlDhrkl1Dkcp
Sc+u+oe8GTCjpTcWCdR2at1lbnUaqxhL05TsetNeyyg9dbwnGLsGVJblrSjMFxbXU+P2uUdKSuxF
dnXWFLlmgdM2gMPZsrX6iigwgk8mbZvbjT7nyxyFS15Y4octSR7JuJJDw/PQB+kyJMVvIe16lQ10
+koblklU6M9TjWUu7Rkqoc8BeWdfcch9kLK8HEQqGO4qK40oE6t3HtlacFvpZ7A3e97crdAhgVd9
eFdOgNviKD30GlttQvql3+z9tLi3Su2h9xP2iFzc1/pwKAb8GYgl8XgiMEaNGXzKRvQqGmy9KbqQ
pjzgllqX8PuXFIPXoYUwxlbsO8rvwzTQQc2jz6kJ2CbBNFgb42U3OO12lCPuh8E+ZBpcIjtjIVTC
DYmOWNcsc5sU+mWvTqDRDcMLrEl69mTfx32WnQzc/EusZ8pC6aW+7EJComlwl16PvHZhZaBMy5po
b2eS29rU8YKq8WeBw91zhvYkytrYuLIrNoFb15dZJbENGP0+jWHawXzbJMRBb1yMIZw5iSeA3p06
k3lrN8oFk8lsY4fFzuW0VdLvNmISEEny+S8E8P9+9bXPMuh/LsfmliEL8/Pfy7H5c9+VYwZWQoFj
gOYhVdeHcgweM4q5uZsICfyvpiFuAoYs2p9sEMr0v6oxzSEsF7sdSD1egH8lmXvnjX3XEGDo7cwd
SObVpkE5RsH+sRqDSZfoYtLDY6ZOpn8ImT0+DZoaOmRhgvM5FWiZLqa2sp/s0Ozl1lXyCiHpoPSP
chL1Jzc0ixvXjazJI4KnJ84yF819bbSM07FXCiB3MRR1jlnDfN7CMGt66XwG0wcbFxLEw0A7tvMh
LR2fOZc96/PpLRrOdu1khBGrG30+4unvhz1OfUNHGginwNDmBIvJOvACSVBtoI7PyXxorObjY6sH
c+gnR8pxPlyCG5jjOjkS57w1VuvuzEDKRceZtMzss8kZNYtsbZkY4nX0hytOKQG8KNqEnGtLzreh
E3PQnY+8+Xz4ZfgzbZz5QFzMR2ObM3LMWbnjzKxzdk6Q9F3iB2SAnkBf8nVSo2vO4qbEW4kK0fFK
zuGgqO4qcyoPBm/3YspNjTKFKHCJc4oE7o44vvlQ3xhDCNMsSC+J50KeUz5gfOy8WmP5b1X5NtVy
XCXukOI6b7dpjXaQCkJLiE0SIl6PiusR1cBJm2qjLRpMXfPKUc2lSAA5bBvl/D+zGzjSu8WnnMpF
uMS7mARzlOmLloS39lziNE2MipCqJyqV62gug7q5IPLn0igAzhHMqpsiNc/hXD1JuMJk+VH35nsy
yM7lXGiBlGZmDGRtUc5lWBEM+xyrQTNPxc0i36RzyaabLT5gqriWai6eyzp7LvC0IVrZZTOfbTC8
z0UgWoW1OZeF7VwgivdaUZq7Zi4enWyW5FFPTnNhaRkhJANKzWouOmOqTznGn/25HLVDdjmLCpVY
yntbdx6EH2BX1p7TLIgWw/zXULuzMsIq8adjSs1bRzq+UfyFYwFGur1M3eQ0jfZTNBfL+Vw2yyGq
0B9SSqvU1I3NY6dRZRes7M5cdoeKc6+IUOEoRkmuxez+ipyDNZIrq8yOBtU7eT2nrnaqRTMX9oEw
14pRPZG5uAwtHUc+LQCbXkBJT2CM0I/Am9wrLunpXUUvn/6BEwuaFMNB2u2bTn+BPLGdJuzLeG48
qHMLokld9sy5LcEE6TWdGxX6xPjMGdJ2WdLF4ObnqXz4UM0NDk3NjjodD/a6dUUHBCSF58wtEeBW
2Pvoksz4fNolTAHmBgq9A0kBQVNFUfN0r8yNFuu95TI3XwRdGOZxyQqaxLVW+w/p3KhhLM18ld6N
60yXKb2cVku8lN5Ob2fPNPdJs+ai9H7iksOUT64xPaE6VTcmPSJjbhaRPnRo5/YRVQ5WZqoZU5/J
QfSYRnpNbtsY+0iT+TUieL++GDoNk/2UE66uGxOsnarZarFzTwsOc0mRabDKIyA9Vao2m6ymYRTk
RbGE0qGfhtG8UNRIuwp5sTx+c+uYCxrFVodhwG7EcD9VhKcRqpbukVxYm4avAK2Gkm41gZ6FM5Yw
cLD4gbro7CbcNopB6aqHXHoEaE7jBaPP++70X9fUosX8z9v0bZs+y5/1TPnUn5s0G66jqXRAdUgv
8yTuT88f7VQL2pcDSJM+woeeqf0HOnNU7Sgi/lf18OcuPetEYf0zkRMmDVfz3432/oa45sJM9Bgg
zgI4QDRzT/W7tn3gV2qVQ166mmgUUem1T6hsQtgsiILULl2OMr23NGqesfAPkQRnZGl97cm8O2V1
sROur+Dh02kddhXM32gftpjvBf2iQo9uVDV57eBDeIybaI0pPfE0vX4oJgTUvmoHXlaXR6qO+x5B
kV6bD1RbBDLyrq79lBaXq0zrlOVpxVEdDxY6eBEomK3K+JPl5E/lWNx1IVSVouEU79s2WEsajUN+
38Bs8vNxH9rUQUZ06JLwsimip7pwIF644iQN64VcGmeVcWOLMUWorevFBXEyj5zqx5UZGxN/LLSY
Ku23iM7vRr2Uq6Dp16Y5NUs9BkAK8yqlF+y8VmEH3zC1L+uGrCvoNp4TWCsrcc6AOV+r2j1FFl0X
vZrnokHcrPwefVrZPYAwfAGS/OhXWGmK/IXZjOuhFSQUiR7LtqZBijxvCzN7YcbBU6oTf1mmTrns
bZbHvixees09JAphhtnI+aSc15vRzFwoWZ300DZeNqCxKtO/ZKdfTlEpwQj0ayag4LzdbaBb53Hq
vkRm/Ibp6taIgo1vTA9ZMGVLdRbR8SO5DAoXfS9oJ6kUkfpQ2dd2Vx9Cd/iSxi7dCkXdFNAdvVbi
N8pU/d4MrLPZjIjpo+TWDPQvrW53uzGaP26B8DCN9iFT2m1dMN9ERM30qiXQqW3ijW2nj4UJZQTP
35UeWiqAQhjR1dw0U01lLjzXqqCZhaZsUzVhAZmGAWdb8qtlDQMx3bKX0DVw3k3O2p4RZH4NVQBw
AhEooMlk7I/UldNZpGgucmvd4mL3zIn2aZBEtJGaAWUebZpl2vLEoc9QPGfiIR5rfsNML4NVL6eb
guPhAnQ6Zvtu7avtzeQYF1GfQHLQ03xRVz4UtDQuqcmSl6YYHhxYVrRays+qVhAgXfie7MGn92q0
tStyjwol3KoAXpeKSHJPVYuNPapQLjGl1aribglsJf6ic96yuLp0hgKqZx2XKyhGOzsYRyYDXb7C
T35XVBZhcRJzbUODCf7I53ouC1UJYpZz4XQCOqXvzZxtbLAMN9il6MONJcEb9zpx0d1KKnUYfeJr
8Juj3oiAKI7IMtY2oM38VmA6KghMKhkeYOYkKwMkiDhhvIhsWgNReDKqIXiM2JXYQwVSV9wOV2Vd
w0ay4eP0w0K1AnSvbnATVqi/A9cartVUuSDXISIg9KvGHLnMcnhXnrfvKvTqXZEOnxB1ej0yxUWv
XnxVrseG/pD0qhod0rxE2x6nobYcbPGiBm0be4k9SjbQ/j3IzE9Mq6IfpIvgVm1EWj/qfhdgzjco
VZYwWGz/KbEiWpAqc31lAWyUE8Z/2+U7+np2dP/zdnkTvUn5k5p2/tS37VJ/T7o0kF5jBePZ+267
RORNTUm5i7diBrl9p4RBJCggXzuoXd5V3t/ZKgiLQDeD5YKtdlYk/qsR409ynCmMZ6EOVa2q64hv
Pm6XkxFmoV5E6LQZySz8bIrJ2Xoqgle4uJwiI7pU+WU0s3EjqMGX/czLlbo40pA9tlW5xh5wTgHr
Aln20EoMmzoJH3JpbSoQvEbuHErOiotaPLLz01gB1jsB7W0sUXOkg+OrB4y4hvwW0zR6Lxf4YsXC
uCSv/JH29tK29L3F7CoDDzzNrVNwwWAxKi8DIBxa+cqdicIJQ4S6ZQuOgQ1rgdj2M33YTJrTAI44
zvK7CTwxWQ0PTIIz0mP1L0qf31ey/ZRoiHJM0MbSVdYTqGM6dYKSqtwwqWy9HuUFWkmwQIAuFgJU
cgMyme2JpZVoGAFMWdbg7EbwylWvD0BrR7GjhIIN7pv7WIXLGPfKlsoM8lMk/W1LRkNhDjudkqkv
7XNftuexyeRdCuQ5nWnPNoG5AfhnkHkkcsCDLtXhwJbAlhUIZWUBjWawE3sDGGn6sjssZwVlKoJu
7bUGNx2AnR4dC8rKTKKenP4pmdnUaWUcUmDVhgAi4FranT1zrEG1MT4y/XUzM67HmXatDuM2rseN
Q+ZaiQi/rfnOgpmQ3X+lZSfv6OxmaLRw5cPfR97CaWDPcWTEAVCqza5wcI00swpV0xtamVWhSrHS
IxPtX10bjfucdlW/ixtLb5Z2og7ZYjD60cQvU5DCkFJTB2FVeaBCDllbVSsGqS95KCvSI/Ezoyzh
8KQj4zF6ddlP9YvttyYBedWXWdi1GP14OeYskUIbqQqt5Czmqa0wxJUSAmdq9JI/Q2UIrYQP6WA+
5s4AfX3obsqWnEio2dHSrKzXuKy/6Aycp4Y+bifST4GN1ISj8UHt2DmTGuQegplV3DcGQswOMg4k
IIbDWzOUj05iNWtDMdOV5TuPYzPHoJo227zoX2tHZwCZsnWMWYNALKodUjzc4JAGylWAQQEqDjKj
IX41B3rZGc9LHuDSnPZ2nm/iorzuDGBriF3vyjnAwS6CTQp9EC+iXASqfe/PjkmLf+Jo/X0wVddU
fN5oKvVlXz9CgK0X/qgUBE2KKVryR7GHwZ1SbKptziuopkJornLgQNAjD4jD6kx+ebBLQuY9dn41
yfJiyMsvtotVLzUJ4FxXYyJf/ttXvu4rvyzDILA0z//Hw6z5936p+V0pxgZiOZpGW9R2abl82FsQ
YNKm4PQAUo3Kik99U1mKP3RmxSbCI4tw5vcq7VvD1P4D2ZOFoH02BGsqkqcf5Cq/kq9gKGfv+EtB
NTdMEa/MLxybi5j/Kh/3Fiqpwg4cELP5EBECg6VhKcFAgc/L7yNpOCs9hkRe64gQU07E7DfNrrK0
L12hMkbMsv6ix6G8QCMAskhtt0ERQGHWLKiFBU3GvI3XLZjEWMSfe58xvoY3eAF6CJZww8lRZJaz
UMrRPYVVdmdJBqpVb3BSTqbLMRnvgqApPDW692PjNsMyfhQaIaZM1eiKRiJgHdSIS03De98MEhqH
7rWT0B4cWv2N4U+7DnSlv80rd2vbYh+Xw7hWAZhhNDlXWn8cihJXi1JddQzj0VxvLLUmgcAaLjPM
RzDs5UKOxaG2xERujLFJVJcmYVC/gEOiUAuCbiUQInhG5G+IUbghcn2N78da8MYtaimjXZeKJ23W
VBKMe9UFQL6cKYCxWDleO2TbsIg4NCZtuExlsnSt6exjpNpaisZX00bdPo3Qk2ZWcOWW0QVRxhU6
GqCTjfIax6lLVk2F9aqINv1E963yhUTyThyuFqLkJzx23abOyQjowhiIAlGxwoBpjHPMvl/Ur7pT
fBH8cTgZkW1UbGuhVj+HbW56tc/sxRQNZEpjngDH2oIMPEyXHXyR1KRLPNZbWmZn3L9MxzPtUA3x
sFIrrVxFFqYjLPf6ZtL1W3OaCWOdu3QU6w5Xo3tRdfE2gYm/tCv/Sq3Z6Rw/WftRukc2f+LEvGxo
g6V9vi4Gt11qVnTvmrW5yQfd9fyZU+amBFpG4jBW44NeZGszJ6OzH8tdZnTnrlY4g0z9G1ceVoOR
vnWi0o70mynOtPEUD8Ro+El4cFvFv+wM+VmTvligo9V3ZFfZT6GSiVUlWtcClIk+XZ3WVkJOkYw7
0IudQqsyKOrrAVX7HCY3x1gYJVgXy3ZendLpLzrAeo4v1rIcto3hr0fL6JeGLx9dE+ScOeZbE5vs
qsLRwF62lT1wsdbiK3aYgClZON0ZZUGDXYdWZ5TiBqXnvtHGtzSskqWWWOfUD4O9PXWrKSMHAbCk
BsF6ldjM4siWeI2n0t01hXiFxxEswLyxO8EmJym4vm6gpfEiHnz610sh+xLlhcTeKhQkS+YK0c2c
ReC0C20Y+cRAMz/vg3Eda/6XtPRPqRwJrs0a9diFbeFBSEenO0GR1XN1Nal2tQ1aJtRat0SzcNHH
er2MfP0xLifmknbTXIZkWB+MXlpvquont4WK0jTtnBEpVxr2xeK/3el9d9IpUv656jm85a/FS5T/
BIAxf/DPwkf/w0F4j8OJFs8Pm5P5B7UGZmgaiDPCGgzKN+PUXC3x+kLn52QPogI707fNiSg8C8fp
O0zjXwX+8G582Jhmaa8FaoJoAgcXAlm/6D6/7xGKtAkc/EfKkVE3oh5GK6o5vfl9GFAbpPaiNWB5
IQaSY8ApilpEnl1q52tddESfAcTLxTkI3IyUOW00lrAW5b3vRGJ8gfuKkiD0Uc7oo7mJK+jRNesy
nFeeP0SL1AyOKrFm984GR/qw6krFXbM+PORlor4EVZp5lT6U6yLEN9i3DTCJYJ4vFPy3hiBPvk10
+VTOqyamT2c50am76HNxEcfSWPS4payQkqZulU2rt58zoNGLjrBMCn/C0dNZIK6MhzEo3EUGiYHO
ZHfl5Oq0yGQcrDAeGxs5jtjYMSJg2xoaWNm86CMx3Q7TvIXuy3I1sejoIJZOcY2uLR+b9JEJ2Xij
afeRWdOnUZKrqArCJSrZ63iCHQxW9DCqzDcd5id9VL7UUU/xSPvQbNJm4XRWvxLOMG2AG0YXuVBI
HDKiYZeMtbqqrQq4qmSqyNRFLfjOHH3Bz6IcoTWyoQcurZjCgLhp0hmsrUXSFcP1xGwHcLGZXA+d
CvE2DLduwhSU5h4fSqYpWjMnyn3ysHNC5uOY3ELpzzmduphz2gcEYLUjaM/GwJ9xjWH/vbG47KaL
41Jd8WDnu1x2HROPIrrwbcU5RCYZDovG9Q9gtmonP2hV619rbfiYhgS5h7n9HEhQ6H2d6iscL4+J
1gQrvym/MIvMPHLwLlmAM2gG4zFVkwKeZPYlnKxlZQTNccxMYmyEKTxTOonngvZmT7Z3sqvEhY7A
w+viEeMwiibC5zZmyP+40vG0wWqdhfmOX6eN1fMXaN7B7BIJiXnoZnbiaAhPK7CZnSgOktmrNs6R
c/TTPL2myVjGaXMJBkAFTiuNI14rpDKVBfXNZNKjFMWmkDMy2ZnaDfkaT7OjoOEIRc71UF/0Aztk
2gXa2jJ95yqB7a5k7qtOPWLH2XXRtne+YhzqUujI/pTyalTAOOu2ZDpaTIi6cGZkuChu1dj3V47z
1ijDPkrFPjLF5RgW7krE4aZC/2kX05p7PiIwvLQyAPOdsre06DILnRmHZfmH3CkxLtslJ5iQjt04
BLsqTHdswduk4kdyQnbhPooXSiwADCfOc0ARBFozOrJloR7LqbGUpsuQsFWeZqc78rFWDq2ijHyl
vkhQ0DpfbIzTpDuuGf2vcTl7aoeBIdCx4uBqCMt4J8j8cPvB6zFKL8LGgq48pHdOqh6Z7N7Znerw
kLqFffSZtlz4zvSlrLSzNbU7Qaq7kWUruxkMyCrD3lISD3vnc4jazqbdSSlfEprjnOokPzuF/uom
vMNZarw17ng2sYAvs6rkiDMR/GB6Jb9xFsMjNkHXBFnndZNKr8bPXnDY3RI3SPBYEu9kG56mYjhm
cycknk+axVZkhcdCygHeUq+zfLji2OTp07jL/XapcOIG10EsYLIVtuplZby162FN/ufAShS92E4L
9BjveOt6CdhvsryOeak6q5xeMXErKJDb4KQT6xh1wXbgVIGJ/JIwJYKDoueqhT6fDF7FK0KnzPOl
tsRB5vkNeVvpW+G354GhT+yoiNRwiPT5g1WJZT2RAWJyDZw4pq8fSYy+qRt7jbaBNIHhbA7unLWk
cxJMa4yL6iajxoUHxBPIbAj95ppYwi80hq9Y4dYjYNg6dJa2M7i0tMId1qAtKeIPqtYwh3VubLt8
cEJyu7rxus1g2pRvlUqIPf7OhTBmRXa5rv1xBuGBFRi9wAivDcKNi844M5H+oikNgyJiJnvkAKq6
Vdxu69TKWg3Tm9gqLhtaOXStaU4REWNb5cpXiA9R2zWv4lXtOmvNqC8Mf+SC1Soo+cJIllwWFbJP
VC4vfVs88EeZ6wFGyFibpcebRHpyiHA8J2Mgr/E3KXta5LtJEauCgK9FJ5N1SKQxmQsE0rnwrOEO
ig2znHv00U9NxQCqFDswV1hWTZSKjdzmjrWjz4N+w3I3BMg89FK9L2R8hm658c2BkXTLd+eugrzZ
isbi6RRQUbrrvEj35ZR7ndLepJHYOoN/ZKKzy83sovO1A3WOQ1xptM7S8UTq8o4XDGm0cx1L99LQ
hsfSnqd+2L1017nzJTFZsj7mtXVuB0bKjlbftDObHBjwQnKSRNZ/mVoB8SeVuujT4CDnhWoqHsak
2et0Nssy5M3uEfH0Xt3PbvF875f5nSzHC02np6Kb4VHxsXRhwU5vcP0P3qQ3F1LFF9HTZ2oSNp4Y
xLN9FzeZ2OmQoubwg0fTYlMHzBJT6CaR9mrTr8+b6iGR4U7VtSPrLdZfmeBNrPckWPJepgTkTqr2
GFp1uXaN5DYjBRWXYLJJDO0UJ05M5YoNjXzBNYX/1k9s5NxKtoqmAgo7ka9BH3jaqC+TFItAmJ+G
AAWlP9DeGV9LpaSgjZ8b5mUzvYY3gFzPuBOrtg1WErqFp3BCSJrWy1I2icHNtx3jw64jKy5SN2Qs
rSN1WGERY/1Bbo19fFoPWb6Hnr6XDcxJC2OcJPGAaggKFoPVEIRDrps86ynvKVZAraCObg4TOqpa
li+tw9QyrinX0uHQmfjjMpXt77sj7U+8Nx9bF19PiCjA5pG00FzX+qEt3vRSyjbKlaOabaM4WRTI
5cPf4QD/zoW06P2DeVGJmnPIb/h4DI2UTLUtU1OOg/NZ9pu+fRyKLwFuD5zkv76dnx14v7/SD+DB
wodjPvlcSXfAjaCpECQ3TrsCgXX7FJG7++vL/fTb421irIFihBj4jzdG7d86SE6DU6c8Ne2+Cl7y
9Gtr8B/NUT+7I07LHJa5DBCaHy7h22JQ3bEMTyDD437TjuMqDfFrBtgbEIc0V//6jkzNpWjBDMjQ
xf6hYuhyu9ZHtYlOcLYWkcGoItiUyW/uianOd/2y94fuw0Xmf/+ddKH2lcayfS4SI7lr5CWkkOX/
32380JEjnhKdFMDFkywPdk9oGPAUEf3mIsytfnkbP/w0ZQKoq8vq6DQAi8UV4EYnMwJeIh4tejv1
UQeZ/+9vi1QswInMyyxYHR+/uCRyaN/FWnQS1XUFl4XOm/C//PtrQPSgwW/wHMD//XgNAg0U2+lk
fKILsiKGQ+QwYdK7X1/kZ1+dAfsRialmCP1HzGnRh0JE0RDz+zzm9mVIpRizGLg+iKS9CRGh969/
fcX5mfqrR/v1mfv+ij/8WKHLYbbUxvik4jwG9wXc6DeLgfZxNZgpJ5Ym4KDMJkY60nO5/+GxLkxw
G4OWneJLDPE7Ns8DKMKVdR2eLQ8r0NrxlPWv7+rjJf9+Vz9cMuyIHoEgEZ86u6ZMjha6y6JQbH99
lZ9/d6iBVXZO66t987v3FQuOLZoMir1foSTR9nNy96+vMH/7P/46pjY/bS79ega+H7+6EqSdNtZK
fKKbBrZO57T5FJkBlv74N/fys2/s+yv9sMBREZO0Iuz4pFlvoXNt+TfV9Jvl7eeXABamuYI3Sfzw
qEVa0jnmFCSnPD9aLY10dE56a/9mq/vZK8TD9udVfvjpUXuEDZGfySlKXvA/+YaykiZN1tZjHKwk
m9T6zW/0t9uCvIOyzSSLCGEcfLWPvxGperhlRJGemm5DJlBvr6rp/OvH4G8P2g+XoM32/RsEmJgv
NKzSU0/4h6ZgHASv/f9yCYCw0IkQK/yoA4iHIVMQY6WnOn1Rph3z6t9c4G+PMveAi8jiPaHxBpHt
4z2wdIpey6fsxDkvay3E1buIkUHuvr3fyH/SzZmt+c9d2Tm1YfEm82f5+tPW7Pzpb61ZzfxDMyhx
oUVZxjtK+C8JJ6AVVjPbVOkiEWvGMvBtbmjxb4CVQWaBWECkAy/et9as8YeDaxEKKHvvOyL038wN
Wd54FP5a9SwV5ALDQgBZJLvDilF/eNzdwVJI9ESLrmAeZbwA2slBG7+zO5a/Thpjhi+OnMqFDdIO
gFoyWagv+6qO78Y4IU98ontylUvdXOYVjAWVkbvaXRPPVYzPLbJRomuCoZroHwxpF+uw6OhjG8PS
eJdEJEKrpp2qujKoN02ppOGN0xBaIy2IH4tcETQTIBTHtxkjqzuTMGOd+aVK4w3dGFsNaOV1WTJJ
K5q0BuDJeD61WvEp1yhhYe033aeSdOdhYVjlNHpmPmmpp9RV7iVGyUgt6UryVuDOKVZpbaE3E5iq
dal/FKoWOIvUiaPDVBOd42UEIASeE8F3dwt9lwdq5mVG3B5URWRXws67c6bb4UrSMza9mXCO/IQ0
mjatnCedqMaJaHe3wGVFaDZgLieyhBdTU54VoqQmb2qyaJtKMb1kumIsw8Ac69wb1cqSWCRcKy79
BcLHpNg5ndFsLMkPwkxmULrHJkLQTXAugg8TCyohupxm50jd6WvALrgyWGGkYzHgpu8jg41Qm4nS
vIufDDevr11Ri3WcYshepLUZ3uIGuXKNuiTYWuHbPOVK0AH+qmeBTOAXbbWDX9P6RyfS48ckrfVb
BnwpsT52C/qqz9Uo3apGTkOI0FM/3lWajIeLTNCxfbN7J3hzDVds0L37ZAaGANAiVw9pZNcoJBUp
luTr1g8kZJTyWJEjiGvtf9NE/lu5DFaR361cSEV/MlCaP/lt1UJJZ7k2tR7nYsZUH9QOGnHT6NfY
ht+V56x131YtG7U6vgK6I6x3xmwc+7Zo2TP7gwUNwgurDSeGf7NoGWI+V3y/aFmQVzUWQUvn7K4z
Vvq4v9UtXO0ucRSS1rIYSMGug+yGxMcGK6U1BYSkcavUJnEJYXatwhT0ugiPS18l9/2I/jSNm90k
sWeXMRJP1baxxfbojasKiTqa38//w955NMeNpVn0v8weFQ8eWMwmkZaZyaQT3QZBSRQ88ODNr5/z
WF3VkkbVEzXrWvSio0Qm0z1zv3vPHYvpsUqnVynqM9nhw4L944TLp9lYcM9CaX6K/GZX6EVKhjK/
m4y0DpibfHH0JBhcpw1CU9z60JFWoxfaTJybJzG53yZy69t0lPeFkX5SNL7Nki3cbzUK2cnGPlu9
7NeJLtdFRmKemjm5ruksJtrGHFdrdmMG1tOivHDV9sUVc5IxWdthRYkIZYHaOpysV5kP2nybjoM3
bFE9R0YBVdtVD32dColtQ7fIkEkcABW8Usn3kovIDL1UAI2qZ3Mz2FCsMk7BfTrTc1XmQVGRVetF
+rVz3fdQUIYcJh4Fs901K7LRVi7uJmrNRp8IN7ine3fS4WcUxmuat9pqInG+mYntBDQlHp2wba9q
UX6ujTiljSyPgSDb8wClzyks47bOItiosQv/Z84eRDxsMpcOFoIxYj0J67mkq5IZN3yTZapOZGLn
QHP9TemCS48kGJbqutXbXdHE29x3ryY7fKYgncBtZs4oMHhYSksc9B4eVMzz3pgdce3QqfKVyGnH
4u958qIuuRqUJ0Uqd4qnfCrhaBaX0BMPuZcP20LiqfDxoViUcNFDONYJVCzQBpsmdxwIEKN3Xoz5
VrR4PoTTKq9H5W0aKe6VLk13GiWvjHXqyN9qkwEsy7mlX/oQ5ssuGyBFCQb9Qxc9dF5xmfxhZ0wG
4wkxUKvIOz8S1krt/mAV6ROV2USm4904eo+FthCkaNr91EcPslxOzZjcN0X/nHT6Xp+YD2Btljge
ccMsibmjvtTeCh0WwwRtlby/OPKWQy7s03e6/Nin+Nu0mSgC1YqE0gwAUou7Mxf7FXPzJlRAta7P
z0sU3hV2LQ+z3VFXoFn3ST9+LjUC1+1D0+t64Nf+bRSna9kOYN+Wq8bRH4Wfjmiv6a5Nmn3CRg2x
wzwDdH4t+ijZaa6zVfbOlUltK23DRNLAMPAJHd/8UK82ohjXi7NcjwLur/CeDGM8Vq2GNWLCmmN/
NqVw1iJM75covkAHxn86KibJY14LfSOMeVuXGeHyTLsOhb/DtgqDq/MIepWfh5CiAXMMT340038+
5Mc855/p/nHs+m41NsXBi/rToKRoi9bwaTIByVY22qw35saWfrmZLYt65rtYcFVfaU70kqrGUJuU
ZmOLb4vW7rNkeGn9cTv6w2b2+BNM77VjiFn0FsYoIhmm3geYfGjXlc+zyyTAKJjgkpo/eUZ/5+k1
ku00wihpzOekbw4jAnOuDSEzZOvWZGbEHffWKH3SN8twtql6Dia73IVl4x3QIYB3urvEy55SIzsx
ffzkMg1a5fDruthaGzI/x2V9BHb5RF35PTRSdwXw8gvpkIspmnMyGJcpL/pDNOtUOCTDPjfqY+0b
d3xIrqqe7EDcEIQLxRZEAtbGfngujJoRupVvh1bcwFQmHagfNZP5Vz1qB2uGqcT1sWvgxS/jfmRG
ROPlafI7YmrLbTdkJCCKmnL35jhJPrIe7rOizT+FonzNGHVjIz10jfXOYOUqrpwDx9rHoU3uba99
QD7NcfaEgJxixoHe50xIeHZ0OCx0FRJ4OIGBvyo5MZHQHRl0ZMdkKV+n3Lz384iaKA7CelWLICX7
aw3JtpTyYkN5S1zv2z+3qt+9LtxT//pscv0m3/63B1Pp2X+eSoCuO7qFwZFjiYUy+O84HBBM1EIu
UygDSjTmwvTHqcT7TXHdTc9FO1J8OX7qj2OJ9xtpAJ//YtoYYQTo97/hwTTFj9duPJgM2cgJKByZ
DwLiZw9mU7cFxmRjuUjZ8mkxOkpvfWzh0p4/6Wm9C2PvizVS+Qrs6DMsIuK5E5GuyTq2dpjTKqx9
UkE4Yc9ne2GIYzPSpoqgI/WVXJwk386hdyPyiGZIvTeItYldNvnn0bRPVVHtvMjf96lxwd5POSdJ
J1qiKKPsnPHesat+25n6u+aU0HPJ82SDFZ1dVdiuwaVdeTUmOYOQFGnkXUGdubDBZUvDe3SledMa
+cX2GZz1RPcY9A35I7mYXTiRV5pt/zZPI3rpsqC0FW/HxnkS5ZVYz531PlZRel6WXuLD5XFme9gt
WgPOu6cy29H3hQbLJJr0Zh3SBrHpfPp/mXLLq57Kko0hx3LVG66/zuIaeJcNUSX/HJH2Ug0VJLbb
XV83TLLIfO1YeKatK+JtNWLGK8vNhKUvwJ23bqxcPxhzdTQFdZ+6RsIJA2PgASuhrds9jVlVBf7o
3Nd64sBDbLpAAy8FabGxLiTzDuXYC8hkNJvarZ0fOFFeO8AgzbLsgrYLXyl8e0jpcj8kmrm35vAd
CatcFQwjPd8hcmSnI5IoMXrNsvZVHFJJlhXigXWfWfJkH4qynNZWJO8I5u7xwrhBbGNtiLh6BlXS
hmhEA4XrgtuVTInnlW2/WWLIOnUILJle9S+Qqhjb1pyzIMsYd36te0x/MziRHrspONC11umsxaPw
MyLQRoFpJiwPTq/ZQG6olR01LztIz15PrkV5nmWZK/pX011Hk3K9b9qoCu+90dOudCf+GmmVpH4w
868WGbM3582hqaOHVuBfFx2oHU12QdE5mzbu7c3gEewYyupYes25bYtv1YRP11rGo5iGZ9mytcAQ
euyNGsyZ6ZvBEMrnofXExm2XU19i4y2EahRPb5fOG4IKA3432ueSiN4cao/dqIuATvk98gJ/dWRd
3Dba9XQV2UlKmM7KqpWftbvUNU65g0tM+N0rhZKXQWSf/ClmFwEhEBm1vRuIh3Arr5NNk1btNonL
N19k5ziiZySP4g13onOZE6dTjUCjq31NwuQT7Y1UM2lRvEoN8dVM5COXk7VGGn/V4Nt7GxqbimTt
ZbBUrXdHN+AEKwGPdnbrZNYr4vmx1d2v7tIeZ1teL7oFmGeh7aeysTZXxrlsil0uasrJYfaYMHWa
BhyqZsR3QyTomU/mV8N9yLSNNXtHmSRbfyBKSaYOJr7UHpIBzEOX5bfY5rSA1MeL1DrYEH0YwFS6
iblCBAT9CHiE64Iac01z9ovy0KHBYKZpmP82GZyp2D+7vs/umV3AKAW9xbtuMB0f3CnaZcXyClW/
25KvCRxvzzEzXeVaGgXdUJ/6cTlgff6McQrytK6vvWL0VzJJ77vc/uw3uCD6CR9tWbuPkdYBxilC
vsS0+K5MEP5FzVq48peczFPJVvz7xPEfNUBtkX+9457fmy/vX3+x5/JTf+65uETV5oh4+Ue4Qbks
/vu/NLTE3wyLvZX4t8v05TtrKQjpn9mcf+65Kp0ukDZJ7gCMULVrf2PPNT7G2z9IAR4iKHsuSy6z
b+tn84CpGXi66iy76MLqmis2KSmCZCgs7cmrMheYsQO6JOD6W9/qqu3dKLj6F/vpcOB6sCtLCuiV
la7zHnGnsaUkw4NuWg1LU17Fz2GEj8LpyoydC9tT0YYX6L/p2oaBv5eGnQcJrUVVNl8mDdiZ7xpv
IYI84LLsKMVyUzqwm9yweZy0cidt/HK9Nz0uYvzqSPdOmhW/wFzkPpps+Mtetbda/xaVk1wG9+Yi
LfDC6cLZyLHLPoX0gWuWCYlEzF2QTfrFq8LbsWCNc+Za7CMkVdyu3n5wuOEXGdXwjvFiSZUTruae
Ogzw1VVVDxuGoulemkW+8RvXg7gROnzH4ueearp1actsF2WAHhaFfDAV/KH/4ECMCgkB4BgrT/1B
iqBjbkbX1fJ9HAu5yRRSolVwCbgA0Z2rgBOOQk9UCkJBaZJ9SRCQgkgHUTHDqqgVtCJW+IpSgSyc
2u12jYJbxB+ci0EhLwzYF6GCYJQf8fS4GVYIBhg/P2gZqQJnEP02j55scLAU/szaD2SnTq4slxPG
gZWfshkDKt8wu5n+Wa9Na9330ACotTnHpC370CP0ojSBUk9XVrRshV3cWqkPsg9QJUtQk73nVf9U
t9mpEiJaA0rc5V2WBeR+zqQZ6S4x+CAVyDGw76a4vJJG82Jo2SkdyTDWBjBVanE2nToByvoGgto1
knDfBXHnZjd2OnM9NE1yZteFHafLmaaLciWycZNJeqdMawhx58aHvkAVn0LcU4SwwQ8s0ZdlYnwU
CmKJ0sfpWSmYi+2X5BMa+wsO2kaRZLKAuol2bcbTpifx6RYkcqZu4oRW2vj9hjSYZ7bOEHQ1x8Vi
7Qm72msRCjtN8Jsp4V+m/N4Yy5iLESTIhA08zfZBFSwWhLk4GdZiEuhxo9hkjZ3gScvaKyG6IzU2
nElsLLiJ0oMEwpCjFKIQqWhUtV6+Uo/CsnU5EzF+V9oSTnafHKv7XoTRV7STPODbFXRKkUqVNKU0
qnnA1KtUq17pV5VSsjBe+VuPj75QKlcpmi5ah4gS6FIfENIkdavsqlRy2D83to8bm6p+++v94z5+
a7tf3NnUT/25f1DcorjPfK1t7AjKO/Tn/mFynWPdZlD5B6fkj2iC/hudLkTmVHhOeB+w6H/d2WjX
Qr8xHXVrE1gcUJn/xv5hf8xaf9g/QKXwWxi3q5iC57P1fT/uNdSDy5xxryBVxVelp7fYGh8RcTlj
1tpFxvhC2iU5ZzmJ42bmYDNHnH0XHY1u8t6rPjmzQT5YGVJpqdO9PJt4ANuIXJln7r283zpdCHtQ
34Py3RTcd+i7LdaY1V5auwucBGAKMC1aiuq32AV/0vXvuEI3o29usKgDftQloSzrC3PEXTT7sIzb
CuteUvT7VDb7xvePLWmCyrC3i8HhDT8raKfh5FAV7Y7D9WjEPVxGK6G+2njLSY8aQjzHAtugG0JD
k3Ux7xo9B9Vhe/HKctore+qGrRfKY2doe9/E1hin9+GAcxCpayQSMEG6xhrRenILBknsC/64IyYb
I1i8kdhQSQMZ6auLb+ZfaTeRu9mg9CqJuC9qc/jQ5BUhJND7ohxxXbbpOQPOuU4iI9tQuJdD0HRp
y56qmVyWtyECTv68gwKLCaizG43qynLNbnkbc3BclZ5/xbiPrIjdnQlePNRxjz92uk2mRNv0C1vU
DORTLB7+Xsj+mlHeskQXK8vzX9JUv5tbSWoqrFhLoMYGs2M+LEXyAoZ2PeYI6KhkCJFJcsJRdkxr
8Y0AvrNPlwmdLOnnTdw6TA1D87bv4qc45e+PONszt2Ss50hrD2ubg0VpWiii/XuVZgcNgtgYcQdK
CHDMne6QjeRxxNSSp/ZL8pYcPebibmq4QlYU06wWs99FkQsurMTC3s0+EnnKz+UEvNd6kVk7ODyX
qvKeAO7wvrdcC/SpZr2VL3qfnCi9ODWJnxy0SGfDd4jtWUZJg2k7c6zRTFbWTkJvqUBr+qea4SRG
0BZabZtcEyV54fwEYTdnk+yTZj1Z0CbJ66/GAY1bz4d9rYsbwwAXa4+qPpXq16g/tKX81GvDrmpL
FLVqy/jDB2WeAMZrBx9g8MhcOY8F+83wvNTJezsYgZZOO0IrM70M8NxKB9rqzLOa3ZuqHjn2+MO9
l+VboKX1ct0N51BLtrPwD9FUXnS7vDGGcJ/by0XrHX89ULBoqGBrj3e1r+JlbSxNvnJIX/IBBezq
aOS2ay72VckvLQtbBh7cgmC0eoz7YvhG7Jv2xsIkUi/VVzVrP0+psx6JHbjp1B8qWsuCsPcxWpf2
IdZre70gCzcohmay8kp/2mnaRJh2MjFnY/Xe+ppnkimki2eKu6uK/rNtMVhfe7uzSElkXytzeGZg
/oXxTrqpWpTUyBxvaGFSrFEq4ObO6TYsR4MZ2H1pNEeySd2RtYdBgyddKIV1TflJ0R3sskidrdlL
x/7EXZe2p9hqKH6yZsl3qS7pOnEnmqG8HgVm45WaNVEVh5a2tzx9pknKxPh8jZA99/e/N1CNfqOZ
x37qIZPbjEuem8UyhkvWyX0VEU2V6Zxv6Lu0tkliR6taLG96E921zKyCLpuuLKvst43WTDtPc442
+/8aFCRBq9z5UldVi73Z4TqeWs8ZFsAg5miC7LE4V2bFhzkriUPwz8Gj29WrDK03pkjGuvNS+j2W
+lvnxwO1I5VYWSWHegE8Cr9zMwVEF84zSZQp8dNtJrUzLZu3WtgfC696HZIRRd4k2guUuNWxMESS
g31rTlfxfLDFyM3TlW9JVt05as7YGXa8oUiArGk33gsjvQ5b/6SlM7kj49uiC35LZH/LhuKRSfha
W67gGqRry242YdTcZRNLj4ipA5vWE7OF2D0LGLtrf6oUafIQo29z3qGatEaBRoQprh03W8Bz+OSk
NZJx7Jjr0bUXpv/9eRHzEQZOGPAqyL1b1ggeFWQ4zoys7ZZcu37ibpYGUnMZag9dtl7s6MloOIt5
Vgq7RuM642X+yIODHfQzf28uPoVPE4E3k0qdYAQXdCkmSWisGk/SA7jrefDHI929EPQ4g9Msggk5
xacwlSYokqPdm+OP8OGH7H4ml02+lex46LOBMAL5FPa4UnugIHS/XqVaxt/YL8997cdbvnVgzLul
WuFWodag6t5b3//EAr0VUOWzIiagEZl7M60+1QPKVuJOASLIgbT5zeDJO9+uPidsdCti99cW508K
jsJgKK1wFy56E9iiOUT0mrHqjtGK2TJdPFl28G0oI0NUBqln1LvWpt6VcN0lS/obTiLb0ugeh0Lf
Ey7iYN0T85t7a9pkohg2QvfqtQ88eaeB8Q5cgtRgNgbaXQhbOAbIUholfXIr+UXAXFp5bnfVlwhg
teNfue30KWf0tpkrNkGWrK2WLNFOG/VjXvpOAJ+dui6+aXQ8GjeOjoCktRL3fim4xxp0jFEgAUfQ
rEN6FMyDZSU3QNQeNVFFW630ECGTkAXOHvdLYfCVIKhk0GRNfa5ZrJ1q+lJW0ZNp15e2dL8slkkL
ndjK1nmusoj+F+msO9TgsJDPovL2XIzvR884mqkWmAZ8M5HH5DTGN5Xd7F16FTNKyPvkdtHdeuV3
4r601CJOMwVrfRz8c+z+OHYbWCf++th9rsruvXmffyHc8HN/Hrw5KOvYaCjiwzMLlPe7g7f+mw/v
CO+U4/yrMfGPYQkWDk7rao7xo4Hjo2Dax/KBI8TB8Pm3Tt2uzYXgJwMHnmtqcz1EIIYy1k8GjkLm
FikJmNuFuQxbKULA8cJ9cblsVm7/ZHTOp2y5DdXmXesbg7bkvos+MSCHo6aQrpLgTk2zMuxQWpbN
MftUqNpl2OzpbqaJmYB6B2AnOkg6mkVU0pzVV8SMm5AthQu1IfRXFH75WVclzyajh02qip+XON2P
SePsWaivaK1PVqkZPxUkv5gXvCykw3LpNYC86zfcb7eAz94YZj9PA4coEoJnmOwVZP4MHGed0tXC
wJYZ4fA0C+816WRyLKUeYhAAMidk+inr81cB75BZfnQI6Q4kpbvsl9p4Hdri2i8bzqLuPU6TjN7F
2gf8xiDhUx8nL16i7UdRPbWNFl25IHb8FqBPOVzrqaCudr6e5uRaQWvrueGuncRfK7CkUQf4qXbG
a1/xWavEOFjVltz0Kp6JFhr3UX1uSFB22Qv+DM6OkvE8R10kqGGdW+TeOHxz+U8Nsl0Wg2a7bdGa
/FIZJMgxaSenqMZ91UGKCJN+M1bpHUvJyRHoXha4m2DI831d5V8bkkfrzmiRFBqxayC0B1S53DAP
oWoAy58Ih3IXl2QoE2LGecnj5ezINrcq320+i2VO1gwbTrG3rCsyU5MTcrDsmeR0ySWX/nUhrbWT
UpBYzelpjKBZWe6aLRM3o0UiMxc2VgRFfo1IWXKUHXR6dixgJm7bBknCECBx4WjMiU98t1hu/M59
I7nL1kFlF5CmIFTmHgOXx6jsPi6+Hwf/z6yMQFad3pXKGhTzzml4hWw8Q7UyD+HT9k61plPMXJ0l
/iKa6R5j/EZSGY90ZUFalBmpUrakWRmUwD8dmElU6wHvEidvCWMKO1OCrylUBqdsmPY0g1bbJjK5
JMwO5p3qYBpJynZAMJYBNeD8i4UhJmNwbes50VAypnIg1T0z3E4Zcud6ApdihKzJ9JsA+RXNBifB
WNxQ8/GcQbnHwDxto4MfRzuGrRygGamPjNZlr30i03QQJfhLRu+V4xwyEV3g676WjOadrOZFXcaT
xdDe7Ktzr6b4BCNvc5oJqAemvsdZl4z7pV8ddOUexwZA1vMqsvAFNLN5lBgFRgwDQjkH+oVBYdQ9
j8pT0FrLNsFkIJXbYMZ20GA/sBN5xFsBmmPGAKocCilWBQvLQiRdEq8DaXgGTuTr79uqfYowOYRT
eu4xPcTRfFeKHCY0X/osj9mzkqcIm4QdVVxxEw+LS7lzlJMicbuzqbwVyBQohdGB4fRtodwXkaiD
GDvG4ItnofwZnsjztY9lY4ztU99wcFqUmwN79jOy5d7th0Bi9zCmhe4oDCBm7rwuGEJGDb0Qg0iO
UaSkQK5VxpE2Ag6HVriAJ04+zCXuh9HEUJ6T/MN+4iknyqw8KZpypzROfvSxq8B+PkzKv6JxiY3j
+GJhbAmVw4UE5BmAGjFFZX5RLhitya81bDF15V83yifjjdO2UM6ZBAsNw+fThKXGxDyjK4uNegth
E32WmG+o396YmHH0SHuaMOfQpHUtsokWBrfaNNh3DOXjSZSjh1qjda08Po1ub0vl+qm94lViA5r9
gooljEEZBqGslOO6xTJErPmqxkIUYyWie+eWHhI9MKwHN6LzIVk+p7l7D9YoOpXKjSSwJcmiPGvK
pxQyO7MwLunS2bkYmSzlaIIoaQHjxOWUYXcyjOg9U/4nwkbiOGOJAoSPmUeXuKSwS7nKN8WHQoKI
x0vlRGLfYq5qMVnVmK1mTFch5isGatFqwo5VjsmO5/wQzflTB+L1MFk3WUbeFB+XkTrc4YtpZ1vV
ZcTplSjLl+cMew0PWLd4B6o1bpdcx/zj89LoF02ZxmLcY0Nv3GfKTiaQuNdeo2RtfbyVpnNuP9xn
iKw40XplSrM//GnE945GCV2wUOa1uHborIWwAGeQb+fCVd+dV44CNiEB75tp3rlR6d8AK/egAIB2
WrQE7qrCPUUD1PChLz4PnOYth1YMdhhACxQDrKWhRFqwaVW3D6EWcbXh1l0N/nCV5iDnam3+Vja0
f/MtXmVzmQVmCpAKddjb2Hn+NFSRsRYKW+XGULL1uIVkw+21CJoiOjHjgWxV691zqrucgamy0Jik
jPZtCzCX+PCCej3mlgeTqqD4W44LvFpdO8HouBpkcmN42daa0o1rLI9FHd5FNUXyNeRh1ywDI/f6
Dffn5xAbpQrpbhod4uiQTVyV4YGbXfd5AFCoZ94L7svzMAKMAFtX9MO2w96ZmO0DafF57bnxGyvr
ozCbPYSTi7Cnd4hXx2LhZfJj8sSJWQWtZj7TP3R0k+IMLckMHLfAIkhQWZKy7tmiYfMQcm9CrBw2
LUDVHRhe6k6K5SAj52RPyV5vIFllgJL8cWVXIlsnLu2fTmre+mNx3yGmDRVUV3wFD5DvShSe7CiS
Eae9dvYtPeAohK2wPnShv9Oy+BC59TGSHb1oJhcP/aoBYAzObJt58kuYUledRbdTyEmBAfVmCbG5
UwJg1917gVqkYT3AIoIRrj/2fv7FMQXaoF8eKpHcNWiSjpEEvpUCoC2cfTyJ+zbT1B1G0wKsoasZ
s+VCiwEs1bWvij57v912KeaQ3ngmx0TJlj5tbQ14CPMmjhYYxkv64OY8e87NnnESUgMtJhs/I+oE
puygwXimFXkHM+lGDHjLs05/mEeGWal8qnRHwHSgQEYbkq9hUw3BlI49wxnzerTFdRiZr5PAvEBm
ZmNxr0uRzfCl+NsoCo9DtrzL2b7upM4zBpqG0MqHJapGm5syxNp4lvomnB3vUunVVWn1myr3HIpg
xS006lPekQTQInPbttBOQjumYKEl+RzPzos9ghTxWWkIiE+nafLgOozV02Qvt1JzXgwjDWljq5/R
bgecpf02awdU55Zn7YX63ldLTw19Yqj8eB81OQVKMjtLxkJZpKGIoRVJGq/WBmSIdd0U35ij0WU9
o6Za/L85gyE51PdRMskdhdOH0QULgSB9Whq1a9vW86TzRUsZCq2bCUhDPVvXepZcUxMQWKmFsy5e
2pMk+I8KZT4hTEVXYxPe+m3+AszF2quvu0MrL85idnMCZOaLF1OgIK1bfZySk29iFdHlIZLiwYg4
0VQ2COcR7VNUa1FkpzoSXDTBskV28Q0JGD+0aWwi03vIuuoq6dJjNjicM0c6qo3uedbrO39CEyml
e53q0XVB+wRkzvkI7/Gxzv0XazLvCFdXR9uEvdVTBLvFuPWyFP7Bb6lzpJm23JUDv1ir9W2FuZMi
AmvYoyBC/gEklAaRVQjzftJTg2tE02jWxstnywAebDraxtCTcEl/v/r+ZSSbi913FyhFFMRPj/8G
cCBYQQJ+/Pfv4pBGIsRkGGVySSW5rvLcUpboW/ffXSsxWAIeKr9vZf3Rz/bHg+C4IyTEEMdVt7jv
HiQLp8bU2jZBgD1oJUEXxAfroRt/n5795XPhJvq/n4vL7N4SWPuEp/6M7x4mFND4GgDMl9z4Nlaf
NPP/4Av84ve7OASEQfUrL9fPr1XrzxRdOkV+KUc+aHsvZKT15+37Fy/Tr34/aTteIV4ohc368e+P
3DJcUFCKi8e9w76x/1Ur+5evz0/x+9/f6+9en5/ea8vJwACylF6sYqcVQUaZh7u24O2/0zr6n5/K
Lx7K5dqt0oM2ozX/p7ci9yKxjEuVXUS6RzDvxEqiPls0SwWaXP3nx1J/9r8nbx+frh/eFvUR/+5t
F3pSMGXL84s0A6B2Nveubs2aOg/b//xAv3pS37//Pz2p0oUy33u/PxDtciXNmPGWfURtxfL/+Kz9
4nsJ44yQi8fuaAJ5/vFJmXZpVGy85aU1KSF4GyZ4tF/+89P51cftu4f4+eO2QHKuIuwBl9J7S8MX
S/t/fJzpc6AVCva1jvHnx6eQ1jmDCGZkl5QV0HQxC/4/Fi9PhyGgLECG6SiT0vfvPBWPnO8dvbos
7tvoXvewTkT3f6xdv3rT+RDjv7AgouoqwfT9Y/hxAaPSW4oL+BxAXl7NTPR2oF1UrkHP/+d35BeP
BX3VgFTgMklGf/rxsWKSIaaf2uUlVnfqTaJIYhv0z4oz1t3HQ/3jVLP4Vv656K7fYPK+w8bo5uu3
4v2//+u+yt9+BUFUP/Wn4Amh1+c66XAP/Jn+bvwGYRrFE6CEqRpQvneHK1C8ir7yJrGdfpe09X4T
JlMCpU+SdlMK6t9wGlCHwqfg3+vd7+5wldsVlLmwc3+4x79b7yyvSBtGB/PF66Lmxk0Z7xL1cp+p
pzKu5jHLXihqdLdeN4gzDNRwNSxDvGaSvzy6/tjdx6LKd8uCVgOEPNy4WtdsyoRaR9hJ17kyZw6m
Hp5s229uzanj5wdP4HTCMgvSG4Spxpx8MsibtV1MpZA0sy8J0YldWuL7pB+W1K1sp9cijqOrqlaS
mdala6MUBLAgCyNIzY++gbqRm29zWLhXPbaPbUcV27HMoMI1FYS1CR4fVllxyVB7mBXjkfIdqtni
hJplxyDm45sdJmFAhYyR0pSztD5at11ZrClIjpipypd4ikIuGQPxHHmVYrvmfF5mB2Pxx6BDoL6J
9Ijyk/kq6c1ma8ny1iaZscE5ru06J1qulqg3r+JYuJvczI80ULeHpLP8taAdlmrC0toMhhHuHR2a
PGNKKk4KSayvGm6XBjOdzAEvYYxeVpptc/XxiAdG/nVq4mEYZl4drdfiu2SU4IMSXb+0UCfXsztK
2HbtVW+krwD5JxhwsBiJLKQbHT97HNVLF4QDbxjTnWadK+N7iAM+pZZkVpb4CW988WGSV3Z5Fvn0
POGg1zKs9JBWKlzK2OtHfCYZfnvHdG8Ll2RKNk07A0e+kY6dj8yDTR/y8wUv+E2Ff19ErYtLIDlQ
br3DBWbje7M3oTL9O8r+n6sgQNsy93bL4tiSEbBVWKAlNTAAg4aoSXlJpiIFmLAvLhkDGn92A5mD
lOyBJIMQqzDComIJTkiJR5huF/IKxUJhiUOCwUfcxopOpoGpsyTjQBMDl3NSD4Dk+S/kIAqj+Wyq
YISPP25ywRuSmKDQi506lGi4Kk7Rffh+6wwosSom7r9YVFMGuokivaW4+kRhqORbUSTZSXdoG1j1
M9NFPHHm2tWb6RRxCT38sxj/Pn9ih/vrxfjSvJXR+y+mT/zUH4ux7v5m6SZGIpZbS//wBv9h+9JJ
3QANMWzD8didv6/iMH9jvuTY+Ls8j9mQ/d1ibP4Ged3hf/xam4SP8bcWY0Vk+GExJvJD6IfJGI2V
ZIi9n44HtaPPyUg1DOZNihXMJc/8QO/98KhNtTiWbotzQBNz/2ql8VUSzi9epC+BdNMvVIfr3Mpt
CpacGBF7U5sipVSvlpspTbC7AwGoHqOGWuNA90VLES+KAHzLBO42S0bzZuVh8t71Imy2RmnHnHzJ
EpRINiVC9Dbu6TnaQDMAkp031rCtmxQmJZXHPsN5lmLlNcHyL3EYpfak8LbNN82LppWd8UWzkxCF
1PC/hjg4sAVTeauZREbggaLJzBRkxQ28PSRFuVTkjgThnPFWN5dTPPiK4HKyqvygR/Fh4tqKUQi3
DEIaneHtQJcrdICTtJydkNpNOjDokKF37GScBtDnS9p4Wv1UtlUTwGvPNrNDH0UjaSVy6/4yde1F
yyawnWj7FGaQfiaFvIkj14E7QDWsxAs9N98ys7tPcnFPFqywucp35Y1WZ8vZtP6HvfPqbSNp8/1X
GZz7NjqHi7PAMoqSqCzb8k1DluTOOfenP7+iJFuB43m9FLA8wHCBBd6x3SSLVU894R8imtD5gqG0
/zUL2qlV2+iIuwnKdHgPapn/A95HOFVz+klqZtNGambOoCWXkml0i9ymfWUViE2W0CmwGHcOcvSH
CYn9xIXgPVOV1D9tPew3sQhrUIygCdVLgD46mncYPFbyUE40p+GCUKFgBdJaQZm9hfMNGiDXrytH
oXlJo64cYnsBTyuYxDnICGYWIKmt/MZwG/hYikQvaZKqXjWtBuaVL47i2fua/V0BwoGjcjPhFZFi
U8q9zkVD2e/kyKnCE1X284UWd+qtP7BO8KkpfP6Nf5v4J4z2/j7+XQTtA+3N+y0hUPzDnyFQ/yRK
DygSTzjVn8BXgiNJqgpzgfgDK5Ek9nn+jlo3wZIwB4lQFxHqF1lR+wRQFg4G2/5JrvsP0tGNutnL
bJR81iQAI3ZlmqqmvRXZ89WUHmKjqesyK8hWjqUYjdGYHpJcJWCRsFA7dRpVixjcuBB8acGNC2UY
AD0NNTB+pHPj0yZDLR+pBGllGKm2bsBpzjq1So8S10kuBy3tTptez4+FHsVd7dXdoZp00aWudJiJ
ZiFz47pHUkAN4MTptrtQwhJlXgsd72++TOSmP+tEM7TtJ7oTLyNVgfMdp8Z37FOVH5IWjBdqZWJw
5sAgQBgbY2zZxkkpN4sZigwqEKKQOa4PwD5JGvdKRRXlotlozMihESE4E2/UZ6CwYc5TPsrSKFbq
qbxhIzNpYbSyEbAZNmo2qNG252Wp2B1cwBLBGyRW0L4xzRzPJCMowmspFOo4RRuhlNOrZCF0pYWC
jiHEdKIGIQldCOxgp6DOrLEmNA6Hdp0XM6CD/kxuS8c4asUVgR0Tt0UiLg55c4dIhbhPhiDVNPzc
q3A1MFBzZqj8X4BEbq0DVVxLGfdTDcv/MDdRbV0bjPZXdmEH7cUYwoYbABKhcuCzMbt14sRDKj1G
n3/LUyGO//cRQQhCHTdB9dfp96DKt2mrvEyNnE/UKAYFIvHZAa34CpijES4Q3ncw/dzA3p8DAwAc
JPxtTDYpVDm1/KtnFrP+yXYQ2KdQRRQNQcY/YjG/TYwMqmOb/6eTu2HvstGLelGllirXHiRq75TW
Pbk/mt//pI9KU/RV8iU6f7Zm8yAECumY8KVe31GJkslOHg/9CbP1Veo3zoJedlgurKRf91pvdgg+
DtVyxJNkbko5zA6lto1LFQANbsW1Y66t0nIqNJjcYt2Uko1FWaOZxdo0JQRwdfRhPPA1CqoqFXyU
jCIlP4gQaJ/Tm6cIQo5qWTJvnHcIxi5LXy/mVdaFS83MuZhb8ywkCCA5SiBsMGpcBlA5mTGUWSgt
04T+6GVajv6PBHWphfbY3bcrWZpzokTX34n5X3Ml19F38TejgXozJsiLvjivez5FgBj4KCnGROr9
r1quHPm9T00MUhIV8miltcWS1uhxR4E9sWrppPHbz0akXRVOdVkys/XS9rNpJCks7wKHtEA/Lko8
P/TimNk4yZsXAaWAJO315lFHWLRl7BNaL8NeAXSrzCx4zIbD0pBv8jAENxBbQG6y4rQMzPAA7tBx
08vffTMajvwcqXrdhVhlx8qDH2fIOzsOaEW8teBqg2HWtYQ0qTeWqeaOR8WQH7WutOyTCO9g/ECT
2ChnUNzgMucw1oN10hna3NXA2njwAsaxXLllcOEbRUwjwgDjL0WrchT+3ZWySqu+nJd+cpmV9ZGv
CfA+8uJ3QxtVtCO8biqr5qLP2ar4B8119MFQnEoR9XVXfV6sOx10l4LENvM/QO+gVpG4D41LQx8y
SBc6oIo0NcDFOioG1Xo9hVe3LsxW2EqC4IgYhmex/KCbzT2pqL0sYzM50hzU+wCNGsF5ntoJIhx6
YDAbhvFvKdKhE4XKsrLlu0jyV6MpndSKdV37krAMMyf2AAg4wjRIU47HxD5v03ThhOosLN25mDYl
Jtx1RESWdlerM5hqeDenWLnK7RdlhLmcGx6AXucbN88alC+cgbI/NGL5bOShrYJ8CBSOUQfjnUu3
agXhX+pXmT4eay5MDutz737L7PGQUbK9MGCNlJZxXYwK0IL+O1ajk6a2gcwyZzPU4cxzQwWYZ2Ri
s+PcxJ56ozGV4kJWjh0di7ROPy38A4wS/Kk/NhpT+WKBhfiV3VfXetTCvwf4Yfjemd4KUlYwIO/V
AjXKohV3KXVFq3zOJf/KtpNrKRdu893C8vIfqtUfFo502PdYZVSheViEzjI24wbsLCS2TEH8ptHr
C70LD/l+R0Yof9MafKoHLYZPltERULE6OoF/Hx30UqLeZExmv1Z2BiG6Hwb3Oqnd6KJ3LTwX+liZ
69hdTEB24eEpCYgGniUQ88APFaqE5x3H4rjNjeCk0QWZJC5bF6Of3BQnDLNl+H0Ozrp24drfRzwa
sUM3P0uVas7byjxx0W2fuzEms3SgKjYz7hrt0MRHgw1cwlONi1qGYqQVXTHz2tyeKEp4xPD+Mskj
sDkd1JE2r7xF5OhfTRO8ltnOikYaZ1ZfpYc2aKG1myOU1I95MInM7LuOYClMysHnyCHLpBtXspdH
rOMAq3PwjsMEz6shcs8ZmH5vemca4uBnh2oxcSX5UjBGNS3/VjUR5Vl40Ib1D6vsTmFUhJjVosut
dfGNGjYLEpBv2SBNGrvC1VEphCxgiC9VldqTEPhM5RqzYQimwHLmYaHeJ2bdL3Nm22Ha3rSaC/il
Bs6GaXQF8SEv+ZmjDr0L64uSVp9hNnwxlAzofR9e9vFwnDrdQV0gFCV14RcPYH7QcUT7ft26ydJL
UNiXY/OirsdTozJvet84yUJ9aust9tD0iTqGwxZY01Z3CBYysy0d3Sgz+gbtBL3k0FzCXTXgsoJz
qe1g5VVwsnwN4eHQMC8p9FjBGNqil1pXAM8Pa81E+iGQb7gJjuAO0S4I0jNgSPVBFnrQVTD00uTy
wEi0OeFmJjU9gDG+feJbxyAVD8rIO1Rq48bJWxLJbJrb0alm2Aeo7UwqitpJoka3ki3NjC44aIDQ
TXA3uZXr6JC1ngVjn04c1TnUm+G8ymU+pl4dhrJ0UBrmNxfIXgvgX6/bSxfgI2XAuKh6hxYiDruy
3v9wZYpaTOa/yXhVT1T4bY4RLwu3uErSepxFaXaAFU6Bd3UigFDaLFRVwGvBN9PNjuRSQ+FXzWr4
MrIyyXS9O5NVfOltUIjzyC6/prIP/Fy2T2UHGYEuLQqhcIAUgN8nC0zs7oIYDhxNTelrl5vsF2QZ
54NM01vTg/gesx5rpmqJD89mUNcdlOMfL/Kz/6RMdiivEGkhC9FQkn1b/mC+pSQJfIiTMAQF9Tly
vuvGn1bib95CZFovMqmBXWxGDW8hFzRirNMmP0Vs+vdfg0rxRRtrM0Pla5iyQW6Ii5OQ8Hv5Hqra
wGxzAu9UxrPFtk7HGtTIFU47v3+b16OLx7dhNI+xBy16oVX6+m28LAR1HbXeaQOgsAiRagQ5JRXX
jX4mkLNmBXjMeJyk/ltK6L9tLjz5Uca3W82OX7QXhPqCbCu0egyM2Ll3X5QRKn9EW5MOqo5M0ksx
JNqyNkMwaB76s2bDcxmBISWiDHgjU3cA+PjDMkIRjaaXDQaDMoX+BkKQBkReJrCv94yleEocl0aG
DQItRJpsKkEY54C+h/6k9p6y6nALjNHlS5OUipu08yZBs48MAc+XmsQrO7FQGg0N6XSU3LmsI+MQ
w+A+xpgkOw2D8vMg619tJ4c+WJFa2FI9b1ENfMTN1SMoYyEmmIXWee9pQKPKMcRJCiwWUCJbENUV
GOuo6LTIjOnt0seOahoZUGZSuQbhC9d9FKR3xQMVBTFhdDOSC0GMbwRFHnNcQPagoYYBdI/pVMbM
F5T6tpWvW8GxD4d5p0K6rx0dn+ENER9GPmh5f5oLkn4h6PpNGyNHs6Hwp+GdEzj2fBD0/gYjTibv
ZJAwl1axEAFAZn2epQxx8OeNjwxD6o7B9aPGiErCVC/D66BIuIViWHilF55mUg3Zaggm3Yimmtlc
UXVAF42Ka1Hd5QXahpoGLrsPigXsoQZVy7SZpVKckzPIOM3gTDaJimad5xAPoyGLF2MrLfPSOATk
8DkJ2wsnpJLg0jfQn1QOLA35niEK7ltFW3vpeDKq2BuB1YJ8GZZf4xodxSYTajX5cePbKBnJtLg9
xMKlsa+nmRCcqDJuo7wOtVmsmisAuueRi/WN1uHjpI7evNATe9FJ2V2hAt9T5epEhY+sF9IykxNU
goJTJW6ONI0bP9Gro6Jlz7hNdVYEJr5ngACnMrnXXOcmrEhgq7BZFoW2tgw/WiDOK03xtMygr6Yz
SILLMpTOoj6r1iOyGBOjJHtsbPOCW2VN/SrgzG0/1RMswlRAyjSgRzq+el0xMpTBTUD3rrwKaVzg
Jm2Yrj3d/TYUGCrFko1HnWbOjFr+rBfFt1DDK0kBzTMUtYkHtnfukWMrfTIbvf6kqJz7EgcJypqK
NazMlVcEymQ0jeO6qU6DrCok3OyteHwY+hj7pySBj5Z/jlyvwF4KcSHEhNZpI4aptXOTRfIFPA4s
LodpCTIuH70FdpmzvOqQT8FjW1aPstg/CbLssA+rEzyBztqUtBglrWYZu023Ml3jB6VNg2dUp+nL
oHGtFsplO16q5rgGW1stlRjPOS8wkB7RTN5XX+YxAqZoHM1xNTroRu2sNG4qiYQuaZzr1IGAEWJT
o5YAlWtj1fkaNMzxrBnVAxeGJhdMc06wm5QdWHlkhMi3aLC7hXumwVZgpEQhTO0CH/8Ctv/UHbzL
MWc8YpZUJn6PxZhaoiukJ1a6dDwFBi6+VgstMpc06r2DgoSEnMa3cV2KKcwbdg5kHUQlFPxxErTU
7V76aunpj6yU7xNbBfCYxZ/H1Ds2FGjtfQHjxNBgJcjChZQx9ncb/edjhphrQI+ECVk+SzLY5I1w
Me2wM9XQK8OUtHtohNNpYvYX2HLnKw0TVBLfRaHLX4fAWtuYpDrCLRV7QTTLdBxUUfj8kgpP1Qhz
1dweli1mq3JenjmYr8rInI7CjdXAljW0IHoHZnSQCcdWC+tWu3FnvDM8WUe/UtD+WfqMVGdjoeQo
nuL9WkjquucYnFnYwhrYw/bCJzYVjrEWkEdVuCEGwk3WwFaW70q+HEE+cuBE+cJ7thYutOC65sha
//CcuwChm6rWLiLWhHsAyL7wsa0xtE1qFWctHG5d4XWbC9fbVvjfdm24xJEcjLrwxh0wyQ14nC1c
cw1hFoWNro9qJWrTOOvqwmOXHxS3XbW/6FNUMZMczXHhyAud4gD0J+U2memqh+njSohLa0c+jTTI
/tY3NFqZjMPW9nrdoJmBYZpfXKr4AJvCENjzzQb5EwomB7fgSEXrTKowbTQsdLyLYu1VkAJUNcfV
qj+mdR5OJa1YNpA7jSg/oXaLVzn+xF7dX8hDNoejNpD+WkcZTsYognVX/jg0iw6X48gBxIvkyTn1
Qcg0nT7tJof7N5/Sf9+arW8xdI9vm+r9wFr8y+dpDYrXTF0EylI16W+KdOV5YE2mpfNHDHIQwRJu
F7/GNUCEEOJXmSOjbWFu/ug5nbLQ/WeYLcoME9knhE/+YFyjaa9TcNBDpFPkdMx/ENcGx/qmZ0oh
qEUlklSnDdIS4xqlOyM8UXQ5VOd1ncRnVlC0SO7FxomBvhD3650uBIdKlIdahRwDrerjQi1v4iE7
jKv0IkCrqBaiRVrorpnTr/MeVZEUXSNPA4ZfonTky92XMUwfnACbzaxVq25Kf+EcEt5CSXR40yMo
GToCM1VnWhrX4bpGValH0mVWam2qfFdpyaAy7MWLzmttZSVbWhkc0k+qkYtTJHpbcuuYxPtcC+kx
SSixTMw2X1mBlSwLyzk0IXboV5pbE2TcpAsZ5zqerx+XYVDdhJ2LCEirJSrKWUhbTesmPLKq1EQR
3DEq2OqlIcGLtEtsqlOrpXIpIWcxqjFpAQAQ/96YCXp8cfrFyg20dv1uabdQ9vLAvM3dzJ1ZXdGf
h3bcIaGQrcFKFVOVXsUEyUN8R1wZtWBtnrmoYMvuZ6kcV7UlXbSQ4dO2W2EPPWsl6rHOOHUY3kzs
3JyWsYraSHCbS9lR3MBwyepm3VhpOrGwZsQME8qbo1y0jbRivDtP3eLEFg0xrUQYvzsAfH6I3soB
fe9jz0lPErU/aTL4kEN14fjxAbyia/QxaEBhPqd4pyYi15Mizi/jfITXFMziXF52RnVR1nD7+24V
mvqXRDR/HfvWsavDGB7E1E5A1IfOjxSdZT02TzS4EchdLPV8xLW0grNSnTlRfVNWNKEgquSSggK3
fzJmQKBJGrE/P8EK9qDq1S9jl61bSAQ6Asv8luhDoH/h+yehi1K35hwBnF40dX0YGuEyN+VvqhEu
7KBe51r93csw1BM/vWehr1Myck+UpW32x0pb1Qz35ZNG9UmZwpMS8h3S0NN6lK4NX1vFofiFG1i4
UbKqUMK0sS103OIB/3G0AOIvCOxcZ7KP1LG0cHPjmKnMQm0SlE5auI2Dctzp9EP5EPi+KnRDlGO3
HQ8Bf05Lvz72LAWafn/U9f4qqxAhpqv7UFrqRev0F+UQORPXa41zy2B0YHb+ienq68FQwaLGQEWS
KC78SaBmGrrkLetl9MWpTDLXKWypxtFXscjzoOkClyL1G0gBMXOc6Yl2bJEa9iJH7KEfQaa1Zhrp
I8JYbD/yyTx3l0hLDgtJc7+hc7LuRO5pJ81VRDKqSaB5I5GfqiJTVTY5q8heJR+JjLyV0rnqK2tX
1y90ketCH0QVRuS/beichSTElY5kvsiQcz+SuAnhUhS9sq5Jo0k2pwZptdwhTcru4NdSQfs5Ivl2
fXIp0nH020qgsdVRTKIOsepYI3FXSOATszjJRUbfFckdcxN+jFGaIS2JRLjI/wMKASO2V5moDBjD
YIMsqgVX1A0SxKxMVBKqb5CPUlwkAZ3iiHIjUbOvtag/kDttp1IynjSUJj0liilqFckmtczp//eB
T55HQWNS2DBeOpQM78CWmnjBiDRHmqdbU4MPk1bURTT/86kjaiVVVE0o1RSLsBmOM1FRmVpwGlFi
tWZjTn2/v/JMJGt9ECIp5VhLiw85X2Xqi0oNrjpyv9RujqjidFHPjaKyo3sc/Xv3KxughkHX4e/H
slcP/m1y+/7eF//q572PPhloMnBo4vrfzCJ/3vtCnwwssTA+VDf432eYBiJk5AncxdzHXPGGgH08
3/sOg1rh5wOwTICGGRz/wb1vKKK19qqNgt2ioYj3coCKkoW8bqOkMXwTeI32aev4UTULNawnDPkg
TFPpsIm9uVLroLSEoInbNqu+G5RJhg/NXGmdw9rAgBQ+rbLwwuHKljJS0zBBjkMJ4gmMmHnY5Hee
2isUk3XTk/OaWSPNNKn5XBGsL4YEt0ezNN1jfCwpx3trZhYq6gtWW67x5mhQHlZ97AOU77Vb/ZCR
YTxAsPkEyp/gw2dVNEeh5mJQ+nNUUczzAgcNCv7OnslxihK+bSbCKZ3ku0EybXByhyoomdt9hPdF
Ix0oeELPQ/weoPYH90qq9s2sauk51BzWAxMdSlEi4kKg4c0dualy6qpoT/dNyn9Dyf/AUmJlAiv5
fAxiDGctmtUIqIHGoicsAB8ATrVuHVsQLTMfE1b1oC4J50BNb+tYw27bc3Ou6NZAZQXzXCgqJEBH
rSQj7G1q2AckxbAcxfEumxIVJeRfSvAyc9mWrvOxQrmhJFTK9sooxjOousNMM50vFPt3WZmdFMyO
JqXiHzKQP8Pv6MprgYd1XTlrI+dHmesruXHWZDIVuDvJnCqpblFFZ1/DLj400+CmD2vGoI70o/ds
5HhrhKHj9puBzVeeWsVK0SlXwhQ+NzlRNmlj0ivN9/zjAOgjrZ0qwJcoO7OH8DP9igQkDyKS4Gv6
OUhxgnKGPNhYVSh4Vjdcu2hsq9k88gJo9V5AEysuPmeaAyZPpmDubdNDkqG/giHHQFlFnCpo5XqO
4VI7NWO4m57enOVCzUoWula4/6KEWX8FY3yfeKm+cDXlPhdaWMzC68PUVUkI0cli3tIuTKGdNRZQ
yyO267KBLMYUW4hsBUJvK9e1lSQUuDww9lPNzjgIyHMNyHTpUfVdE7pdjttZcyWsUIA1qx9ghbGM
l4dkytnPp7nQ/gogRZs+OhIWknpoL3FGcN2OIVOiGuYqxZQUF5IxmiQemhcz3+5PNaTGVCTHfKTH
zMheSUiRNeqK/ovbrR2eWen1ZV6gWmYiXxYl5hfLSU7RlYvpioTDzEXqLMIgQxbSZ2n91RJaaFkP
Pj4Lc2deWU45zXCNmtRhusiifE3Df1lJyTUyAKuo8I7rJE8OFGTXAsa1KjJsegMh3BLKbGWPe3is
krXI8Y2PipthIiNnyp21CgvrWHWSkwDFt1hIv9E/VWnARSOQcPoFno9EHDpxwapBNU5FPY6S+iZW
ejIdrveJicKcbhlfGryd1QTpOQRPnFkv5OigdxszXE+BmQqxOqmpl7AjGVWZYz+VoDx0pvtlFBJ3
RY7UIj4khB7+HfpB+BVjPp6jjueO5UMh5PLUMRZ9UhUJF6T0YMhGE4dlnbbo7Kno7dWdBu5TSPCh
d63Pohbllgh9PgOJAx29vsD3LUZ6NF1iyPIymn6jqV25KOtNSyH3V9SxNGFefwEg5gYpA6G0lp6r
QiRQQS3QdBrI+Ex8i9R252oF+osOmIvCYOtXa3kjOZjbh4EQIXSt5DyGR9tbgXToo1MYCMFCue4P
TRQMIcwPE1rgxhR6VTw1U8CxsZA8HGV/zdgbq3Mw7DN0F354o3uFkRpJi0KLQxPiib0f3pe5cepl
ClNOIbDIrEadpiaiix3E3oMaHUZLKEWNxXg+0NadS0KsMXK8y14L5o3K7B81R8dJWugS5SEIbAQo
FN+bFkL8UetMvOHNzFi4yfA1QSGy9uTbAr1eCAOIR9qoSJpNcq2iKjliNwN4FbBFqy9KEARtZh8F
6FCGlVsfQB2Mpt1ITQfZczlYyt2IeqXhEbN7aiUTXctCKR8QI1zX6F2O6OJZQgCzGpopMO2bDPAG
8IgIBQWG5pF8YKGdKXs1hvFsAtAARO58YgVIkxlCcLMfrKscBc5RNx6imkAZaGY2b2OBmBiQCGau
SX4JRrpyTkvo0UsVbc+YfQuchQrWEppUrYoUMJyZ0mhb5nQjKJnBu+XuLOdZ4DcTyadzA1zLPLVt
GrcS/YBlWZVfg0i5NNIGReXRuUaV4CaMkBIsiQuTCuFOpGRyhQiioMppf9dcu1+WTrng830vQ1A7
qZ3dVy4ltBOirpP6GkVTFBp4QxRn3HlgV/izLvePaqjSE6yEpxpV49xJmntX8DZkq7hHmvk0DB3s
piSXxlvrrhG4aFAwHvyFk1EIIvKrT9ywAWtRE8Fc2zjxQV5QKAQIdAbZImu8g8GAk2IRJyWXclhK
L4ds9AE9hd8iK78D6I6kXpIsXRf8QDjwG7jtpWLkCs1yvMAxql/ltc9VnDLngFptMToZMcCRlOqU
wcrMG5IfkRxl1JXdaW+5MUZv3rGsBQmGePkPW0qRtdOdmw5z+rlUJLThUvM28pnG58yHZcbe5yW6
KETzynHXeusv/YB0eRrT5VgxEHeKkyxGrNuclIEMyj2kFTKij+EU/vH/Lz20pzafIMbNN7y48+ah
HC4eqiauq+cEU/zpWRak9VX2P/tLv3/QEyPvashh5N3eY/OMF1pdBnc1SekjW291/3//z2NmLhgX
rzLzzQfbfOrfPie+hfXX3PMOmv4Jjze4GRp4SPFiuB1nqff0x5ICjBobGESF6ZXxVi+W6O8W4fff
73E1f/93/v6zv1wCOHaPn+mR4/3zd/mHr8/3+/Xt+XIUJWikgREXL0qM19/e+YTEJAoAjFY3r31Y
hC0bQaDbd9sIuvLJAn1gqUBmNy9qpFdLoerMu9Gr2zCJ//d3wrtFEAz+XRcBSwXavjY1oBD04/Vu
ERj606NmEfZ0Iyhv+/R/HhFQJzRB7KiWsf1M0MSHVQ7CQbTv93Aj8LHh6+x2GjRmDuIgQGR+3Ags
6+vToIrJg23QzNjTRXgnb/k/2QnMauivYJu8eb29G5jZMI6hqbO3x0He/YJ0CHsOkCzo65sXJ//t
TpC5QZlBPe66/+Ub8l1cFB/7A44DxrIGayCiLK+3x0GhIcfLgDS6r8dh98Co0XRkLijMeLYvArcH
3gcgBUkj9jMwPl5bf5YwiQ3/K2NyPtEoRU/273YCMUHwjRVUTfZ0EZTdY4L5CRsL8gCdFHTzehMT
OA7MuIWyCwnEfu6Ex19nl51g09MXKiA26/k6IsoEA1R5OAqbiLmvG8H4iDSB+1GnPuJRr9eAdJoq
HKGUff32otLbOUlCxlpVOAp/czXKn2CfcXkKBZm9PAb67gGRdNnSwYDAJd683l6NmKZyRiAOCp2v
vVwEgTTfeSdgFmvCmH5cA1GJvT4OhARHXJ6Gud8hYfe7gTIZFJGGJsf2/cDdQGjETk6gi/ZzP+ye
KuE/qCmmYShPbZO3+0HkixBgDVvZ16TZ2PmCZH5tkSagjvYUGbY0E8TNAadkb++I3Tsq5IsYWyqw
gN6GBCpoSEEWnYY9PQeC6LNjXITugQYPCfPfJIoC9Sgj0of6554ugqCc7LYI4hwgtaHr77cAzWdI
MDjpPPUc93QNnnboLskyFYMmoxXzlBJvazSrjsCdCiXIvbwVlJ0DoqaSBOAryIzxMV98209SjE8Q
rbg1KCvEa1/DovIRWSNwJyIjxcPj6010FPpdqA+jHbOvWYK+c2Bg9oQABoAwxi/bF4EyGhULxMie
btB9PRq7XxTGJxRNRVflcedviw+iIQ1jcF87CtruVYT1ySFbQsyJOCleb+MDt6WKkhxH5rEXu7fx
YffGgvOJWRu6qDRRNi/RhHs5lqWqRFBVwVR1bxOH3XNH9oMl1IWR79q8tpTWoEJFANnXIKk8/jo7
ZA4CBUvbXegYPb7eHQqaLPyxIM/saXh8Sml2WATmshjPOzpH/3EROPmvj4MgFqmKguDRni7CUyd4
l0VAts5QkVB+7jq/PQ7kDPDRacoSN8RrX8Ojtnv6ZH8ygIQzgJUfI8O70pq6yhH/x526z0uh7p5E
bcQGaDPgof38VV8dDVotjgm6XuUy2bz29ICI6nC3QpOhvQoJUGfs8rgU70Il6A0iJTS/fW05PA3N
dokSDsK//M4WMutb94OqMdC2kGgX4Ja9rDTV3Zuw7ARm0RjbP275dzge0YSlKS+8Nvd1EXYPktYn
Tca/5ucqvL0vAPLgMO1wXex3kHwCVuxwKAS4TcM1Btbx04Z4mz+on0zwDQbApn3dD48fbLdFIH1y
GEs/VdME3Fc3BfuB4ovBvrK3i7B7jcnBxxeC+cwTnOfdHaGA/ALLo+/tuE7w4Ha8KJGAt2WErJ6a
De+7DYQOhrrAF/Y2PO5eXdpC0VXMJJ9qim07Ad4qllY/Y8ZeXpfG7omTyBkwIeIueMwZ3nUbAPXQ
aRCiVnsaHoVB046HgjwZTQpm2E/dyHc1hYxxgk381PZ1Zvn0wXa4I0SLHkKkQZv+zeUADwABP3tj
GLE5D/u6EXYPDJuKyrL4nR8P/ruNQBmhohDiPInM7R/iU9s9JFgM7WQZm4PnFPrNfqABSZtWOPHt
6xWhP8aqHU4DvTcArex67e/iokrbCf4MieW+HofHzugOi6AZFM2qSU7EfhCvLb03CPzomAsfvr28
Id+JF/05FB4zCR3lHANVx81ryw0pCzVIjEH2dRF2TxvJCukuMpJ4iglv7wjmM2KETfK8rzfkE8xi
l+MgWgskjYIWsXm9Ow7g/XTHNvAj2dedsHt/BVSPiUcC2N/HRXiXO8uf+ENmu6yDeD3uvf27KPXd
C0obA5qN+NjTHfFuKTYplalDmNrT/fBO3+WPwyMXJZgNFJKRwX18vc8WQAELj+PHLvXe7ofds0dq
KSxpQUU/LcWWIGmKCPJHDYb/4OT8JChPfcS7N9Rk9Cy2MZj/7i88k3Lf//kL4vGGdfvqbwqq8uOb
P9KTxf/+r9fM5Q1t+MWfPtOIN+/09O+fvuL7N3/1Zs/f6/k/HgQP5W15h9XrhrD99EEf/Uz/O8bW
9P72JWdY0KZFd/z5v22nWf8sJH//dOj7D88P+sXJFmyrX1/1PYf7P3t4cnuflc8PevFwDs7OD8df
ot72wclpdn729Ba/ZX6S6vlZLz47kXH352dxU737SblkCK4f8PC0Lm//wmWv3vYWJDU7v8XsIf7r
BB+VbetPvrDz8+fxX7OsZPM8P+vF+nPX7fz8RYlGzraHE+Z2fvgyfkjT5+e8+OAfcVwPmuR7Ft/X
7x8vEK47f/RVkj+UwW38/Khfn17gJnd/fDpsWXSBQ9z50UcP5ZY1FyOA3R8dpN6WQCAIeDs/+/g2
2nKGBJ3gAx5dVQ/b1uQjDuhxVv313zi7xg/bVuYjjuj69p4A/LwOLzbiRxzR9W0ZbFuajzii4tl5
ti26C5jEzj/r+iG9z+6CbdFLjN0/4Pnl3cP984N+rTsuuh/w8IzP/vycF8/+iGO6zrauyUecUh5d
P5QPw5ZP/hEn9eQ237LRRTNu51/z5KG9fZ87YmH/EUf0t+bOm0R2h8T0LL69e9iSO4r23M7LchY3
ybbkTsxfdn74P3m+7royl7d3JSVBWm+5SwUobecvICwqJw/CafX5Yb+OqmATfdAblOlteb81kAlB
qA95k1nw4G37Eh9xasUqLbA3vwuqu23v8RHHV7zHYXZbNNtuKwFV/5BV+mc70t23bPrX+rZ+2LZO
H3GeH52QJrfl9+1eSB9xrB/fY/obt6UPWKWauq1sxucf9te5ExTv3X9s/3ZrTShmTLs/nB7GtoRN
mNZ+wMOrKBiy5vlRLxbmQ85yFt9uyx5E83v3z05isk1aWnRtd3/4P3lW7LwpRZtlyz2sf8S5/a3q
9q6fHJcq7rAtSZsgRe+88FcNkeDh+UG/9qNgWX7Aw2kQJdv6coKFsPPjP/OEZttZNT7irN5gt/b8
IV+sy0ec05vm+5ZMWUCH/mFNtrVlf8pAvm/WPss7bvtnr3vR4m/cxQ+35X/9PwAAAP//</cx:binary>
              </cx:geoCache>
            </cx:geography>
          </cx:layoutPr>
          <cx:valueColors>
            <cx:minColor>
              <a:schemeClr val="accent2">
                <a:lumMod val="60000"/>
                <a:lumOff val="40000"/>
              </a:schemeClr>
            </cx:minColor>
            <cx:maxColor>
              <a:schemeClr val="accent2">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image" Target="../media/image3.emf"/><Relationship Id="rId10" Type="http://schemas.microsoft.com/office/2014/relationships/chartEx" Target="../charts/chartEx4.xml"/><Relationship Id="rId4" Type="http://schemas.openxmlformats.org/officeDocument/2006/relationships/chart" Target="../charts/chart7.xml"/><Relationship Id="rId9" Type="http://schemas.microsoft.com/office/2014/relationships/chartEx" Target="../charts/chartEx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209550</xdr:colOff>
      <xdr:row>5</xdr:row>
      <xdr:rowOff>144780</xdr:rowOff>
    </xdr:from>
    <xdr:to>
      <xdr:col>4</xdr:col>
      <xdr:colOff>1394460</xdr:colOff>
      <xdr:row>15</xdr:row>
      <xdr:rowOff>53340</xdr:rowOff>
    </xdr:to>
    <xdr:graphicFrame macro="">
      <xdr:nvGraphicFramePr>
        <xdr:cNvPr id="3" name="Chart 2">
          <a:extLst>
            <a:ext uri="{FF2B5EF4-FFF2-40B4-BE49-F238E27FC236}">
              <a16:creationId xmlns:a16="http://schemas.microsoft.com/office/drawing/2014/main" id="{5F69B0FA-8CF2-4353-BA0D-11A371C95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422910</xdr:colOff>
      <xdr:row>5</xdr:row>
      <xdr:rowOff>106680</xdr:rowOff>
    </xdr:from>
    <xdr:to>
      <xdr:col>10</xdr:col>
      <xdr:colOff>300990</xdr:colOff>
      <xdr:row>21</xdr:row>
      <xdr:rowOff>45720</xdr:rowOff>
    </xdr:to>
    <xdr:graphicFrame macro="">
      <xdr:nvGraphicFramePr>
        <xdr:cNvPr id="2" name="Chart 1">
          <a:extLst>
            <a:ext uri="{FF2B5EF4-FFF2-40B4-BE49-F238E27FC236}">
              <a16:creationId xmlns:a16="http://schemas.microsoft.com/office/drawing/2014/main" id="{1C398EA0-C3E8-416E-BEC2-12ACF7EE4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346710</xdr:colOff>
      <xdr:row>2</xdr:row>
      <xdr:rowOff>114300</xdr:rowOff>
    </xdr:from>
    <xdr:to>
      <xdr:col>10</xdr:col>
      <xdr:colOff>53340</xdr:colOff>
      <xdr:row>12</xdr:row>
      <xdr:rowOff>68580</xdr:rowOff>
    </xdr:to>
    <xdr:graphicFrame macro="">
      <xdr:nvGraphicFramePr>
        <xdr:cNvPr id="2" name="Chart 1">
          <a:extLst>
            <a:ext uri="{FF2B5EF4-FFF2-40B4-BE49-F238E27FC236}">
              <a16:creationId xmlns:a16="http://schemas.microsoft.com/office/drawing/2014/main" id="{E9627A69-BAFB-4C70-A415-C39224CF0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5</xdr:row>
      <xdr:rowOff>106680</xdr:rowOff>
    </xdr:from>
    <xdr:to>
      <xdr:col>10</xdr:col>
      <xdr:colOff>438150</xdr:colOff>
      <xdr:row>21</xdr:row>
      <xdr:rowOff>45720</xdr:rowOff>
    </xdr:to>
    <xdr:graphicFrame macro="">
      <xdr:nvGraphicFramePr>
        <xdr:cNvPr id="3" name="Chart 2">
          <a:extLst>
            <a:ext uri="{FF2B5EF4-FFF2-40B4-BE49-F238E27FC236}">
              <a16:creationId xmlns:a16="http://schemas.microsoft.com/office/drawing/2014/main" id="{70D7CE68-077D-4FAA-ADB6-DDA585DF9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56</xdr:row>
      <xdr:rowOff>53340</xdr:rowOff>
    </xdr:from>
    <xdr:to>
      <xdr:col>6</xdr:col>
      <xdr:colOff>1104900</xdr:colOff>
      <xdr:row>66</xdr:row>
      <xdr:rowOff>30480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0ED7CE3-4392-4D92-828E-AD6F864D20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66510" y="9867900"/>
              <a:ext cx="1832610" cy="1729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788670</xdr:colOff>
      <xdr:row>49</xdr:row>
      <xdr:rowOff>129540</xdr:rowOff>
    </xdr:from>
    <xdr:to>
      <xdr:col>3</xdr:col>
      <xdr:colOff>796290</xdr:colOff>
      <xdr:row>65</xdr:row>
      <xdr:rowOff>68580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448D57A-B31E-49F7-AD30-386CEECA13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8670" y="87172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422910</xdr:colOff>
      <xdr:row>5</xdr:row>
      <xdr:rowOff>106680</xdr:rowOff>
    </xdr:from>
    <xdr:to>
      <xdr:col>10</xdr:col>
      <xdr:colOff>300990</xdr:colOff>
      <xdr:row>21</xdr:row>
      <xdr:rowOff>45720</xdr:rowOff>
    </xdr:to>
    <xdr:graphicFrame macro="">
      <xdr:nvGraphicFramePr>
        <xdr:cNvPr id="2" name="Chart 1">
          <a:extLst>
            <a:ext uri="{FF2B5EF4-FFF2-40B4-BE49-F238E27FC236}">
              <a16:creationId xmlns:a16="http://schemas.microsoft.com/office/drawing/2014/main" id="{385F0C4C-8C85-4797-984D-E2BFAF1AE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232410</xdr:colOff>
      <xdr:row>5</xdr:row>
      <xdr:rowOff>106680</xdr:rowOff>
    </xdr:from>
    <xdr:to>
      <xdr:col>12</xdr:col>
      <xdr:colOff>445770</xdr:colOff>
      <xdr:row>21</xdr:row>
      <xdr:rowOff>45720</xdr:rowOff>
    </xdr:to>
    <xdr:graphicFrame macro="">
      <xdr:nvGraphicFramePr>
        <xdr:cNvPr id="2" name="Chart 1">
          <a:extLst>
            <a:ext uri="{FF2B5EF4-FFF2-40B4-BE49-F238E27FC236}">
              <a16:creationId xmlns:a16="http://schemas.microsoft.com/office/drawing/2014/main" id="{1C53E9D2-6C53-4514-B4A6-A10DB8C71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274320</xdr:colOff>
      <xdr:row>6</xdr:row>
      <xdr:rowOff>76200</xdr:rowOff>
    </xdr:from>
    <xdr:to>
      <xdr:col>11</xdr:col>
      <xdr:colOff>91440</xdr:colOff>
      <xdr:row>20</xdr:row>
      <xdr:rowOff>89535</xdr:rowOff>
    </xdr:to>
    <mc:AlternateContent xmlns:mc="http://schemas.openxmlformats.org/markup-compatibility/2006" xmlns:a14="http://schemas.microsoft.com/office/drawing/2010/main">
      <mc:Choice Requires="a14">
        <xdr:graphicFrame macro="">
          <xdr:nvGraphicFramePr>
            <xdr:cNvPr id="3" name="Order Mode">
              <a:extLst>
                <a:ext uri="{FF2B5EF4-FFF2-40B4-BE49-F238E27FC236}">
                  <a16:creationId xmlns:a16="http://schemas.microsoft.com/office/drawing/2014/main" id="{DBF7AC3A-6931-4A7D-BB58-C22BAC98EEE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632960" y="112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7</xdr:row>
      <xdr:rowOff>106680</xdr:rowOff>
    </xdr:from>
    <xdr:to>
      <xdr:col>17</xdr:col>
      <xdr:colOff>114300</xdr:colOff>
      <xdr:row>21</xdr:row>
      <xdr:rowOff>120015</xdr:rowOff>
    </xdr:to>
    <mc:AlternateContent xmlns:mc="http://schemas.openxmlformats.org/markup-compatibility/2006" xmlns:a14="http://schemas.microsoft.com/office/drawing/2010/main">
      <mc:Choice Requires="a14">
        <xdr:graphicFrame macro="">
          <xdr:nvGraphicFramePr>
            <xdr:cNvPr id="4" name="Customer Gender">
              <a:extLst>
                <a:ext uri="{FF2B5EF4-FFF2-40B4-BE49-F238E27FC236}">
                  <a16:creationId xmlns:a16="http://schemas.microsoft.com/office/drawing/2014/main" id="{C2735982-CC6C-4AE3-AABE-B23B2C5A4996}"/>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7673340" y="1333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4</xdr:row>
      <xdr:rowOff>83820</xdr:rowOff>
    </xdr:from>
    <xdr:to>
      <xdr:col>17</xdr:col>
      <xdr:colOff>0</xdr:colOff>
      <xdr:row>18</xdr:row>
      <xdr:rowOff>97155</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26AF9F22-7CA1-40A3-B3CD-49A19418910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55904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0</xdr:col>
      <xdr:colOff>198120</xdr:colOff>
      <xdr:row>4</xdr:row>
      <xdr:rowOff>134620</xdr:rowOff>
    </xdr:from>
    <xdr:to>
      <xdr:col>1</xdr:col>
      <xdr:colOff>1508760</xdr:colOff>
      <xdr:row>7</xdr:row>
      <xdr:rowOff>81280</xdr:rowOff>
    </xdr:to>
    <xdr:sp macro="" textlink="Sheet1!G4">
      <xdr:nvSpPr>
        <xdr:cNvPr id="5" name="TextBox 4">
          <a:extLst>
            <a:ext uri="{FF2B5EF4-FFF2-40B4-BE49-F238E27FC236}">
              <a16:creationId xmlns:a16="http://schemas.microsoft.com/office/drawing/2014/main" id="{E31C04E2-F0E7-49F7-96FD-8138C81D8CBF}"/>
            </a:ext>
          </a:extLst>
        </xdr:cNvPr>
        <xdr:cNvSpPr txBox="1"/>
      </xdr:nvSpPr>
      <xdr:spPr>
        <a:xfrm>
          <a:off x="198120" y="835660"/>
          <a:ext cx="15621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6ECED2-3803-4AF6-AD74-EBF868B9E193}" type="TxLink">
            <a:rPr lang="en-US"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cs typeface="Segoe UI Semibold" panose="020B0702040204020203" pitchFamily="34" charset="0"/>
            </a:rPr>
            <a:pPr/>
            <a:t>2,400</a:t>
          </a:fld>
          <a:endParaRPr lang="en-IN" sz="2000" b="1">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0</xdr:col>
      <xdr:colOff>198120</xdr:colOff>
      <xdr:row>8</xdr:row>
      <xdr:rowOff>30480</xdr:rowOff>
    </xdr:from>
    <xdr:to>
      <xdr:col>1</xdr:col>
      <xdr:colOff>1508760</xdr:colOff>
      <xdr:row>10</xdr:row>
      <xdr:rowOff>152400</xdr:rowOff>
    </xdr:to>
    <xdr:sp macro="" textlink="Sheet1!H4">
      <xdr:nvSpPr>
        <xdr:cNvPr id="7" name="TextBox 6">
          <a:extLst>
            <a:ext uri="{FF2B5EF4-FFF2-40B4-BE49-F238E27FC236}">
              <a16:creationId xmlns:a16="http://schemas.microsoft.com/office/drawing/2014/main" id="{69D89C5B-038D-48E7-A217-66507520947E}"/>
            </a:ext>
          </a:extLst>
        </xdr:cNvPr>
        <xdr:cNvSpPr txBox="1"/>
      </xdr:nvSpPr>
      <xdr:spPr>
        <a:xfrm>
          <a:off x="198120" y="1432560"/>
          <a:ext cx="15621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0436E7-93D8-4BA9-B1A7-D6C00F7D6DDF}" type="TxLink">
            <a:rPr lang="en-US"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rPr>
            <a:pPr marL="0" indent="0"/>
            <a:t>11,997</a:t>
          </a:fld>
          <a:endParaRPr lang="en-IN"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198120</xdr:colOff>
      <xdr:row>14</xdr:row>
      <xdr:rowOff>172720</xdr:rowOff>
    </xdr:from>
    <xdr:to>
      <xdr:col>1</xdr:col>
      <xdr:colOff>1508760</xdr:colOff>
      <xdr:row>17</xdr:row>
      <xdr:rowOff>119380</xdr:rowOff>
    </xdr:to>
    <xdr:sp macro="" textlink="Sheet1!J4">
      <xdr:nvSpPr>
        <xdr:cNvPr id="8" name="TextBox 7">
          <a:extLst>
            <a:ext uri="{FF2B5EF4-FFF2-40B4-BE49-F238E27FC236}">
              <a16:creationId xmlns:a16="http://schemas.microsoft.com/office/drawing/2014/main" id="{7FD8373F-4734-4D61-AF39-464B1E1877A7}"/>
            </a:ext>
          </a:extLst>
        </xdr:cNvPr>
        <xdr:cNvSpPr txBox="1"/>
      </xdr:nvSpPr>
      <xdr:spPr>
        <a:xfrm>
          <a:off x="198120" y="2626360"/>
          <a:ext cx="15621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CD5FCD-E547-49FD-AB2F-51A070B0ED19}" type="TxLink">
            <a:rPr lang="en-US"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rPr>
            <a:pPr marL="0" indent="0"/>
            <a:t>4.0</a:t>
          </a:fld>
          <a:endParaRPr lang="en-IN"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198120</xdr:colOff>
      <xdr:row>18</xdr:row>
      <xdr:rowOff>68580</xdr:rowOff>
    </xdr:from>
    <xdr:to>
      <xdr:col>1</xdr:col>
      <xdr:colOff>1508760</xdr:colOff>
      <xdr:row>21</xdr:row>
      <xdr:rowOff>15240</xdr:rowOff>
    </xdr:to>
    <xdr:sp macro="" textlink="Sheet1!K4">
      <xdr:nvSpPr>
        <xdr:cNvPr id="9" name="TextBox 8">
          <a:extLst>
            <a:ext uri="{FF2B5EF4-FFF2-40B4-BE49-F238E27FC236}">
              <a16:creationId xmlns:a16="http://schemas.microsoft.com/office/drawing/2014/main" id="{9291C34C-28C0-42A6-A872-D6A7450D67BC}"/>
            </a:ext>
          </a:extLst>
        </xdr:cNvPr>
        <xdr:cNvSpPr txBox="1"/>
      </xdr:nvSpPr>
      <xdr:spPr>
        <a:xfrm>
          <a:off x="198120" y="3223260"/>
          <a:ext cx="15621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955E7F-7F9A-4E30-A982-A699FB157F25}" type="TxLink">
            <a:rPr lang="en-US"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rPr>
            <a:pPr marL="0" indent="0"/>
            <a:t>5,622</a:t>
          </a:fld>
          <a:endParaRPr lang="en-IN"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198120</xdr:colOff>
      <xdr:row>11</xdr:row>
      <xdr:rowOff>101600</xdr:rowOff>
    </xdr:from>
    <xdr:to>
      <xdr:col>1</xdr:col>
      <xdr:colOff>1508760</xdr:colOff>
      <xdr:row>14</xdr:row>
      <xdr:rowOff>48260</xdr:rowOff>
    </xdr:to>
    <xdr:sp macro="" textlink="Sheet1!I4">
      <xdr:nvSpPr>
        <xdr:cNvPr id="10" name="TextBox 9">
          <a:extLst>
            <a:ext uri="{FF2B5EF4-FFF2-40B4-BE49-F238E27FC236}">
              <a16:creationId xmlns:a16="http://schemas.microsoft.com/office/drawing/2014/main" id="{6B5B009E-FB0A-4647-AC2D-B89678B1D94F}"/>
            </a:ext>
          </a:extLst>
        </xdr:cNvPr>
        <xdr:cNvSpPr txBox="1"/>
      </xdr:nvSpPr>
      <xdr:spPr>
        <a:xfrm>
          <a:off x="198120" y="2029460"/>
          <a:ext cx="15621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40F2C4-6966-4501-AB3E-3E697BA5171B}" type="TxLink">
            <a:rPr lang="en-US"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rPr>
            <a:pPr marL="0" indent="0"/>
            <a:t>$649.ok</a:t>
          </a:fld>
          <a:endParaRPr lang="en-IN" sz="2000" b="1" i="0" u="none" strike="noStrike">
            <a:gradFill>
              <a:gsLst>
                <a:gs pos="0">
                  <a:schemeClr val="bg1">
                    <a:lumMod val="95000"/>
                  </a:schemeClr>
                </a:gs>
                <a:gs pos="83000">
                  <a:schemeClr val="bg1">
                    <a:lumMod val="75000"/>
                  </a:schemeClr>
                </a:gs>
              </a:gsLst>
              <a:lin ang="5400000" scaled="1"/>
            </a:gra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198120</xdr:colOff>
      <xdr:row>3</xdr:row>
      <xdr:rowOff>114300</xdr:rowOff>
    </xdr:from>
    <xdr:to>
      <xdr:col>1</xdr:col>
      <xdr:colOff>1104900</xdr:colOff>
      <xdr:row>5</xdr:row>
      <xdr:rowOff>30480</xdr:rowOff>
    </xdr:to>
    <xdr:sp macro="" textlink="">
      <xdr:nvSpPr>
        <xdr:cNvPr id="11" name="TextBox 10">
          <a:extLst>
            <a:ext uri="{FF2B5EF4-FFF2-40B4-BE49-F238E27FC236}">
              <a16:creationId xmlns:a16="http://schemas.microsoft.com/office/drawing/2014/main" id="{612A6DDA-D686-4218-846B-D2B66AAE7251}"/>
            </a:ext>
          </a:extLst>
        </xdr:cNvPr>
        <xdr:cNvSpPr txBox="1"/>
      </xdr:nvSpPr>
      <xdr:spPr>
        <a:xfrm>
          <a:off x="198120" y="64008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Orders</a:t>
          </a:r>
        </a:p>
      </xdr:txBody>
    </xdr:sp>
    <xdr:clientData/>
  </xdr:twoCellAnchor>
  <xdr:twoCellAnchor>
    <xdr:from>
      <xdr:col>0</xdr:col>
      <xdr:colOff>198120</xdr:colOff>
      <xdr:row>7</xdr:row>
      <xdr:rowOff>10160</xdr:rowOff>
    </xdr:from>
    <xdr:to>
      <xdr:col>1</xdr:col>
      <xdr:colOff>1104900</xdr:colOff>
      <xdr:row>8</xdr:row>
      <xdr:rowOff>101600</xdr:rowOff>
    </xdr:to>
    <xdr:sp macro="" textlink="">
      <xdr:nvSpPr>
        <xdr:cNvPr id="12" name="TextBox 11">
          <a:extLst>
            <a:ext uri="{FF2B5EF4-FFF2-40B4-BE49-F238E27FC236}">
              <a16:creationId xmlns:a16="http://schemas.microsoft.com/office/drawing/2014/main" id="{3BBAAF11-D12C-4FFB-9B49-04D11C4AA868}"/>
            </a:ext>
          </a:extLst>
        </xdr:cNvPr>
        <xdr:cNvSpPr txBox="1"/>
      </xdr:nvSpPr>
      <xdr:spPr>
        <a:xfrm>
          <a:off x="198120" y="123698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Quantity</a:t>
          </a:r>
        </a:p>
      </xdr:txBody>
    </xdr:sp>
    <xdr:clientData/>
  </xdr:twoCellAnchor>
  <xdr:twoCellAnchor>
    <xdr:from>
      <xdr:col>0</xdr:col>
      <xdr:colOff>198120</xdr:colOff>
      <xdr:row>10</xdr:row>
      <xdr:rowOff>81280</xdr:rowOff>
    </xdr:from>
    <xdr:to>
      <xdr:col>1</xdr:col>
      <xdr:colOff>1104900</xdr:colOff>
      <xdr:row>11</xdr:row>
      <xdr:rowOff>172720</xdr:rowOff>
    </xdr:to>
    <xdr:sp macro="" textlink="">
      <xdr:nvSpPr>
        <xdr:cNvPr id="13" name="TextBox 12">
          <a:extLst>
            <a:ext uri="{FF2B5EF4-FFF2-40B4-BE49-F238E27FC236}">
              <a16:creationId xmlns:a16="http://schemas.microsoft.com/office/drawing/2014/main" id="{DAC96FA4-CE5D-4DF6-AFD6-7BB033B3A6DF}"/>
            </a:ext>
          </a:extLst>
        </xdr:cNvPr>
        <xdr:cNvSpPr txBox="1"/>
      </xdr:nvSpPr>
      <xdr:spPr>
        <a:xfrm>
          <a:off x="198120" y="183388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Amount</a:t>
          </a:r>
        </a:p>
      </xdr:txBody>
    </xdr:sp>
    <xdr:clientData/>
  </xdr:twoCellAnchor>
  <xdr:twoCellAnchor>
    <xdr:from>
      <xdr:col>0</xdr:col>
      <xdr:colOff>198120</xdr:colOff>
      <xdr:row>13</xdr:row>
      <xdr:rowOff>152400</xdr:rowOff>
    </xdr:from>
    <xdr:to>
      <xdr:col>1</xdr:col>
      <xdr:colOff>1104900</xdr:colOff>
      <xdr:row>15</xdr:row>
      <xdr:rowOff>68580</xdr:rowOff>
    </xdr:to>
    <xdr:sp macro="" textlink="">
      <xdr:nvSpPr>
        <xdr:cNvPr id="14" name="TextBox 13">
          <a:extLst>
            <a:ext uri="{FF2B5EF4-FFF2-40B4-BE49-F238E27FC236}">
              <a16:creationId xmlns:a16="http://schemas.microsoft.com/office/drawing/2014/main" id="{970173E8-B7A6-4A12-9693-BD8D8F3C4D6B}"/>
            </a:ext>
          </a:extLst>
        </xdr:cNvPr>
        <xdr:cNvSpPr txBox="1"/>
      </xdr:nvSpPr>
      <xdr:spPr>
        <a:xfrm>
          <a:off x="198120" y="243078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Avg Rating</a:t>
          </a:r>
        </a:p>
      </xdr:txBody>
    </xdr:sp>
    <xdr:clientData/>
  </xdr:twoCellAnchor>
  <xdr:twoCellAnchor>
    <xdr:from>
      <xdr:col>0</xdr:col>
      <xdr:colOff>198120</xdr:colOff>
      <xdr:row>17</xdr:row>
      <xdr:rowOff>48260</xdr:rowOff>
    </xdr:from>
    <xdr:to>
      <xdr:col>1</xdr:col>
      <xdr:colOff>1562100</xdr:colOff>
      <xdr:row>18</xdr:row>
      <xdr:rowOff>139700</xdr:rowOff>
    </xdr:to>
    <xdr:sp macro="" textlink="">
      <xdr:nvSpPr>
        <xdr:cNvPr id="15" name="TextBox 14">
          <a:extLst>
            <a:ext uri="{FF2B5EF4-FFF2-40B4-BE49-F238E27FC236}">
              <a16:creationId xmlns:a16="http://schemas.microsoft.com/office/drawing/2014/main" id="{EB6F9B03-CE3D-49F8-AAE1-93CF1500B7C3}"/>
            </a:ext>
          </a:extLst>
        </xdr:cNvPr>
        <xdr:cNvSpPr txBox="1"/>
      </xdr:nvSpPr>
      <xdr:spPr>
        <a:xfrm>
          <a:off x="198120" y="3027680"/>
          <a:ext cx="1615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Days to Deliver</a:t>
          </a:r>
        </a:p>
      </xdr:txBody>
    </xdr:sp>
    <xdr:clientData/>
  </xdr:twoCellAnchor>
  <xdr:twoCellAnchor>
    <xdr:from>
      <xdr:col>2</xdr:col>
      <xdr:colOff>201544</xdr:colOff>
      <xdr:row>0</xdr:row>
      <xdr:rowOff>8467</xdr:rowOff>
    </xdr:from>
    <xdr:to>
      <xdr:col>26</xdr:col>
      <xdr:colOff>46604</xdr:colOff>
      <xdr:row>43</xdr:row>
      <xdr:rowOff>8467</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135852" y="8467"/>
          <a:ext cx="14616137" cy="7561385"/>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143086</xdr:colOff>
      <xdr:row>1</xdr:row>
      <xdr:rowOff>53340</xdr:rowOff>
    </xdr:from>
    <xdr:to>
      <xdr:col>11</xdr:col>
      <xdr:colOff>25399</xdr:colOff>
      <xdr:row>16</xdr:row>
      <xdr:rowOff>167640</xdr:rowOff>
    </xdr:to>
    <xdr:graphicFrame macro="">
      <xdr:nvGraphicFramePr>
        <xdr:cNvPr id="16" name="Chart 15">
          <a:extLst>
            <a:ext uri="{FF2B5EF4-FFF2-40B4-BE49-F238E27FC236}">
              <a16:creationId xmlns:a16="http://schemas.microsoft.com/office/drawing/2014/main" id="{804D275E-A293-455C-BA86-E940E345C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169332</xdr:colOff>
      <xdr:row>1</xdr:row>
      <xdr:rowOff>46892</xdr:rowOff>
    </xdr:from>
    <xdr:to>
      <xdr:col>18</xdr:col>
      <xdr:colOff>397932</xdr:colOff>
      <xdr:row>16</xdr:row>
      <xdr:rowOff>164124</xdr:rowOff>
    </xdr:to>
    <xdr:sp macro="" textlink="">
      <xdr:nvSpPr>
        <xdr:cNvPr id="29" name="TextBox 28">
          <a:extLst>
            <a:ext uri="{FF2B5EF4-FFF2-40B4-BE49-F238E27FC236}">
              <a16:creationId xmlns:a16="http://schemas.microsoft.com/office/drawing/2014/main" id="{D7374E31-E5A7-4A33-933C-9E5E334F16CB}"/>
            </a:ext>
          </a:extLst>
        </xdr:cNvPr>
        <xdr:cNvSpPr txBox="1"/>
      </xdr:nvSpPr>
      <xdr:spPr>
        <a:xfrm>
          <a:off x="7273517" y="222738"/>
          <a:ext cx="4906107" cy="2754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304800</xdr:colOff>
          <xdr:row>4</xdr:row>
          <xdr:rowOff>71978</xdr:rowOff>
        </xdr:from>
        <xdr:to>
          <xdr:col>18</xdr:col>
          <xdr:colOff>293076</xdr:colOff>
          <xdr:row>15</xdr:row>
          <xdr:rowOff>61873</xdr:rowOff>
        </xdr:to>
        <xdr:pic>
          <xdr:nvPicPr>
            <xdr:cNvPr id="28" name="Picture 27">
              <a:extLst>
                <a:ext uri="{FF2B5EF4-FFF2-40B4-BE49-F238E27FC236}">
                  <a16:creationId xmlns:a16="http://schemas.microsoft.com/office/drawing/2014/main" id="{952CE509-0B0F-4F62-841D-E6EB7D85BEBA}"/>
                </a:ext>
              </a:extLst>
            </xdr:cNvPr>
            <xdr:cNvPicPr>
              <a:picLocks noChangeAspect="1" noChangeArrowheads="1"/>
              <a:extLst>
                <a:ext uri="{84589F7E-364E-4C9E-8A38-B11213B215E9}">
                  <a14:cameraTool cellRange="Sheet2!$A$14:$E$18" spid="_x0000_s2091"/>
                </a:ext>
              </a:extLst>
            </xdr:cNvPicPr>
          </xdr:nvPicPr>
          <xdr:blipFill>
            <a:blip xmlns:r="http://schemas.openxmlformats.org/officeDocument/2006/relationships" r:embed="rId5"/>
            <a:srcRect/>
            <a:stretch>
              <a:fillRect/>
            </a:stretch>
          </xdr:blipFill>
          <xdr:spPr bwMode="auto">
            <a:xfrm>
              <a:off x="7408985" y="775363"/>
              <a:ext cx="4665783" cy="192420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597877</xdr:colOff>
      <xdr:row>1</xdr:row>
      <xdr:rowOff>46892</xdr:rowOff>
    </xdr:from>
    <xdr:to>
      <xdr:col>25</xdr:col>
      <xdr:colOff>88463</xdr:colOff>
      <xdr:row>16</xdr:row>
      <xdr:rowOff>117231</xdr:rowOff>
    </xdr:to>
    <xdr:graphicFrame macro="">
      <xdr:nvGraphicFramePr>
        <xdr:cNvPr id="30" name="Chart 29">
          <a:extLst>
            <a:ext uri="{FF2B5EF4-FFF2-40B4-BE49-F238E27FC236}">
              <a16:creationId xmlns:a16="http://schemas.microsoft.com/office/drawing/2014/main" id="{A83D7B54-39AA-4230-A6D7-4E82245E2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135692</xdr:colOff>
      <xdr:row>18</xdr:row>
      <xdr:rowOff>8468</xdr:rowOff>
    </xdr:from>
    <xdr:to>
      <xdr:col>11</xdr:col>
      <xdr:colOff>32210</xdr:colOff>
      <xdr:row>42</xdr:row>
      <xdr:rowOff>28222</xdr:rowOff>
    </xdr:to>
    <xdr:graphicFrame macro="">
      <xdr:nvGraphicFramePr>
        <xdr:cNvPr id="20" name="Chart 19">
          <a:extLst>
            <a:ext uri="{FF2B5EF4-FFF2-40B4-BE49-F238E27FC236}">
              <a16:creationId xmlns:a16="http://schemas.microsoft.com/office/drawing/2014/main" id="{903B65B7-328B-47D0-B83C-8DE3BCC4F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494622</xdr:colOff>
      <xdr:row>31</xdr:row>
      <xdr:rowOff>90529</xdr:rowOff>
    </xdr:from>
    <xdr:to>
      <xdr:col>8</xdr:col>
      <xdr:colOff>633047</xdr:colOff>
      <xdr:row>39</xdr:row>
      <xdr:rowOff>117232</xdr:rowOff>
    </xdr:to>
    <xdr:graphicFrame macro="">
      <xdr:nvGraphicFramePr>
        <xdr:cNvPr id="21" name="Chart 20">
          <a:extLst>
            <a:ext uri="{FF2B5EF4-FFF2-40B4-BE49-F238E27FC236}">
              <a16:creationId xmlns:a16="http://schemas.microsoft.com/office/drawing/2014/main" id="{BE1B3A78-A14F-4F5D-AEA4-3FFD2ED2D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224989</xdr:colOff>
      <xdr:row>18</xdr:row>
      <xdr:rowOff>8465</xdr:rowOff>
    </xdr:from>
    <xdr:to>
      <xdr:col>18</xdr:col>
      <xdr:colOff>410307</xdr:colOff>
      <xdr:row>42</xdr:row>
      <xdr:rowOff>58615</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7B2F50ED-6442-4C8B-9FCC-651A224CB7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329174" y="3173696"/>
              <a:ext cx="4862825" cy="42704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60868</xdr:colOff>
      <xdr:row>23</xdr:row>
      <xdr:rowOff>125697</xdr:rowOff>
    </xdr:from>
    <xdr:to>
      <xdr:col>17</xdr:col>
      <xdr:colOff>656493</xdr:colOff>
      <xdr:row>32</xdr:row>
      <xdr:rowOff>140677</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DDEF156A-B5DD-40E5-ABED-E68A1C90BB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553608" y="4156677"/>
              <a:ext cx="1266185" cy="1592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574431</xdr:colOff>
      <xdr:row>18</xdr:row>
      <xdr:rowOff>8467</xdr:rowOff>
    </xdr:from>
    <xdr:to>
      <xdr:col>25</xdr:col>
      <xdr:colOff>117231</xdr:colOff>
      <xdr:row>29</xdr:row>
      <xdr:rowOff>23447</xdr:rowOff>
    </xdr:to>
    <xdr:graphicFrame macro="">
      <xdr:nvGraphicFramePr>
        <xdr:cNvPr id="24" name="Chart 23">
          <a:extLst>
            <a:ext uri="{FF2B5EF4-FFF2-40B4-BE49-F238E27FC236}">
              <a16:creationId xmlns:a16="http://schemas.microsoft.com/office/drawing/2014/main" id="{BDA4FE52-4165-4A21-8743-93E9D15A5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597878</xdr:colOff>
      <xdr:row>30</xdr:row>
      <xdr:rowOff>35169</xdr:rowOff>
    </xdr:from>
    <xdr:to>
      <xdr:col>25</xdr:col>
      <xdr:colOff>105508</xdr:colOff>
      <xdr:row>42</xdr:row>
      <xdr:rowOff>82061</xdr:rowOff>
    </xdr:to>
    <xdr:graphicFrame macro="">
      <xdr:nvGraphicFramePr>
        <xdr:cNvPr id="25" name="Chart 24">
          <a:extLst>
            <a:ext uri="{FF2B5EF4-FFF2-40B4-BE49-F238E27FC236}">
              <a16:creationId xmlns:a16="http://schemas.microsoft.com/office/drawing/2014/main" id="{24C2E88F-A22A-4A6E-8311-1AA938006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131207</xdr:colOff>
      <xdr:row>21</xdr:row>
      <xdr:rowOff>93786</xdr:rowOff>
    </xdr:from>
    <xdr:to>
      <xdr:col>2</xdr:col>
      <xdr:colOff>25699</xdr:colOff>
      <xdr:row>31</xdr:row>
      <xdr:rowOff>58615</xdr:rowOff>
    </xdr:to>
    <mc:AlternateContent xmlns:mc="http://schemas.openxmlformats.org/markup-compatibility/2006" xmlns:a14="http://schemas.microsoft.com/office/drawing/2010/main">
      <mc:Choice Requires="a14">
        <xdr:graphicFrame macro="">
          <xdr:nvGraphicFramePr>
            <xdr:cNvPr id="26" name="Order Mode 1">
              <a:extLst>
                <a:ext uri="{FF2B5EF4-FFF2-40B4-BE49-F238E27FC236}">
                  <a16:creationId xmlns:a16="http://schemas.microsoft.com/office/drawing/2014/main" id="{1407EF8B-A430-4209-BF1C-4B526DBB79E7}"/>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31207" y="4041207"/>
              <a:ext cx="1828800" cy="162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131206</xdr:colOff>
      <xdr:row>31</xdr:row>
      <xdr:rowOff>152401</xdr:rowOff>
    </xdr:from>
    <xdr:to>
      <xdr:col>2</xdr:col>
      <xdr:colOff>25698</xdr:colOff>
      <xdr:row>40</xdr:row>
      <xdr:rowOff>23446</xdr:rowOff>
    </xdr:to>
    <mc:AlternateContent xmlns:mc="http://schemas.openxmlformats.org/markup-compatibility/2006" xmlns:a14="http://schemas.microsoft.com/office/drawing/2010/main">
      <mc:Choice Requires="a14">
        <xdr:graphicFrame macro="">
          <xdr:nvGraphicFramePr>
            <xdr:cNvPr id="27" name="Gender Value 1">
              <a:extLst>
                <a:ext uri="{FF2B5EF4-FFF2-40B4-BE49-F238E27FC236}">
                  <a16:creationId xmlns:a16="http://schemas.microsoft.com/office/drawing/2014/main" id="{0C115CDC-019E-4D5D-B75A-836C2AE8EC99}"/>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31206" y="5834838"/>
              <a:ext cx="1828800" cy="1374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328246</xdr:colOff>
      <xdr:row>1</xdr:row>
      <xdr:rowOff>117230</xdr:rowOff>
    </xdr:from>
    <xdr:to>
      <xdr:col>17</xdr:col>
      <xdr:colOff>199292</xdr:colOff>
      <xdr:row>3</xdr:row>
      <xdr:rowOff>105507</xdr:rowOff>
    </xdr:to>
    <xdr:sp macro="" textlink="">
      <xdr:nvSpPr>
        <xdr:cNvPr id="17" name="TextBox 16">
          <a:extLst>
            <a:ext uri="{FF2B5EF4-FFF2-40B4-BE49-F238E27FC236}">
              <a16:creationId xmlns:a16="http://schemas.microsoft.com/office/drawing/2014/main" id="{1D226782-1A33-4EF6-8A1A-4D632CC911DC}"/>
            </a:ext>
          </a:extLst>
        </xdr:cNvPr>
        <xdr:cNvSpPr txBox="1"/>
      </xdr:nvSpPr>
      <xdr:spPr>
        <a:xfrm>
          <a:off x="8100646" y="293076"/>
          <a:ext cx="3212123"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How they Like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ith Mohamed J" refreshedDate="45976.613685416669" createdVersion="7" refreshedVersion="7" minRefreshableVersion="3" recordCount="2400" xr:uid="{16F67A81-158B-4663-B359-1654F8F48F00}">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08456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8A41B7-E413-45B7-8BC3-EE497CA3FF8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8:C22"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81F5E5-7C50-4776-BCA3-7FA578985A8E}" name="PivotTable for summery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Sum of Days to Delive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E510E5-23CE-489F-B763-B09592D710C9}" name="PivotTable for 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D0873E-DF84-45F2-991A-F5210E5F42CE}" name="PivotTable for tax"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5B270-3FF3-4939-93B0-DE6170684331}" name="PivotTable for pie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F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10">
    <chartFormat chart="9" format="1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13" series="1">
      <pivotArea type="data" outline="0" fieldPosition="0">
        <references count="2">
          <reference field="4294967294" count="1" selected="0">
            <x v="0"/>
          </reference>
          <reference field="7" count="1" selected="0">
            <x v="1"/>
          </reference>
        </references>
      </pivotArea>
    </chartFormat>
    <chartFormat chart="9" format="14" series="1">
      <pivotArea type="data" outline="0" fieldPosition="0">
        <references count="2">
          <reference field="4294967294" count="1" selected="0">
            <x v="0"/>
          </reference>
          <reference field="7" count="1" selected="0">
            <x v="2"/>
          </reference>
        </references>
      </pivotArea>
    </chartFormat>
    <chartFormat chart="9" format="15" series="1">
      <pivotArea type="data" outline="0" fieldPosition="0">
        <references count="2">
          <reference field="4294967294" count="1" selected="0">
            <x v="0"/>
          </reference>
          <reference field="7" count="1" selected="0">
            <x v="3"/>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 chart="7" format="6" series="1">
      <pivotArea type="data" outline="0" fieldPosition="0">
        <references count="2">
          <reference field="4294967294" count="1" selected="0">
            <x v="0"/>
          </reference>
          <reference field="7" count="1" selected="0">
            <x v="2"/>
          </reference>
        </references>
      </pivotArea>
    </chartFormat>
    <chartFormat chart="7" format="7" series="1">
      <pivotArea type="data" outline="0" fieldPosition="0">
        <references count="2">
          <reference field="4294967294" count="1" selected="0">
            <x v="0"/>
          </reference>
          <reference field="7" count="1" selected="0">
            <x v="3"/>
          </reference>
        </references>
      </pivotArea>
    </chartFormat>
    <chartFormat chart="9" format="16" series="1">
      <pivotArea type="data" outline="0" fieldPosition="0">
        <references count="2">
          <reference field="4294967294" count="1" selected="0">
            <x v="0"/>
          </reference>
          <reference field="7" count="1" selected="0">
            <x v="0"/>
          </reference>
        </references>
      </pivotArea>
    </chartFormat>
    <chartFormat chart="7" format="8"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22ED50-FD8C-444E-8280-81AA1D566BB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L6:M11"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Row"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2">
    <chartFormat chart="9" format="1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0"/>
          </reference>
        </references>
      </pivotArea>
    </chartFormat>
    <chartFormat chart="16" format="8">
      <pivotArea type="data" outline="0" fieldPosition="0">
        <references count="2">
          <reference field="4294967294" count="1" selected="0">
            <x v="0"/>
          </reference>
          <reference field="7" count="1" selected="0">
            <x v="1"/>
          </reference>
        </references>
      </pivotArea>
    </chartFormat>
    <chartFormat chart="16" format="9">
      <pivotArea type="data" outline="0" fieldPosition="0">
        <references count="2">
          <reference field="4294967294" count="1" selected="0">
            <x v="0"/>
          </reference>
          <reference field="7" count="1" selected="0">
            <x v="2"/>
          </reference>
        </references>
      </pivotArea>
    </chartFormat>
    <chartFormat chart="16" format="10">
      <pivotArea type="data" outline="0" fieldPosition="0">
        <references count="2">
          <reference field="4294967294" count="1" selected="0">
            <x v="0"/>
          </reference>
          <reference field="7" count="1" selected="0">
            <x v="3"/>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4"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E2A07B-4456-47C7-BF39-29AF24CBF7B9}" name="PivotTable for map"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D61"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02C3B9-556F-4632-97F7-BA833AD64E05}" name="PivotTable for cluster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A9413F-D622-4F51-AD7B-3FE3EACD15B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8"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0"/>
          </reference>
        </references>
      </pivotArea>
    </chartFormat>
    <chartFormat chart="2" format="14" series="1">
      <pivotArea type="data" outline="0" fieldPosition="0">
        <references count="2">
          <reference field="4294967294" count="1" selected="0">
            <x v="0"/>
          </reference>
          <reference field="9" count="1" selected="0">
            <x v="1"/>
          </reference>
        </references>
      </pivotArea>
    </chartFormat>
    <chartFormat chart="2" format="15" series="1">
      <pivotArea type="data" outline="0" fieldPosition="0">
        <references count="2">
          <reference field="4294967294" count="1" selected="0">
            <x v="0"/>
          </reference>
          <reference field="9" count="1" selected="0">
            <x v="2"/>
          </reference>
        </references>
      </pivotArea>
    </chartFormat>
    <chartFormat chart="2" format="16" series="1">
      <pivotArea type="data" outline="0" fieldPosition="0">
        <references count="2">
          <reference field="4294967294" count="1" selected="0">
            <x v="0"/>
          </reference>
          <reference field="9" count="1" selected="0">
            <x v="3"/>
          </reference>
        </references>
      </pivotArea>
    </chartFormat>
    <chartFormat chart="2"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6A73D4D-6E28-4A84-8811-4949BFF11772}" sourceName="Order Mode">
  <pivotTables>
    <pivotTable tabId="11" name="PivotTable5"/>
    <pivotTable tabId="5" name="PivotTable2"/>
    <pivotTable tabId="6" name="PivotTable for gender"/>
    <pivotTable tabId="7" name="PivotTable for tax"/>
    <pivotTable tabId="8" name="PivotTable for pie chart"/>
    <pivotTable tabId="8" name="PivotTable2"/>
    <pivotTable tabId="9" name="PivotTable for map"/>
    <pivotTable tabId="10" name="PivotTable for cluster chart"/>
  </pivotTables>
  <data>
    <tabular pivotCacheId="80845653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16F96035-C2E5-43ED-9489-1092D610FCA7}" sourceName="Customer Gender">
  <pivotTables>
    <pivotTable tabId="11" name="PivotTable5"/>
  </pivotTables>
  <data>
    <tabular pivotCacheId="80845653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12D459E-4F31-40A3-8C8A-1925BCBD9704}" sourceName="Gender Value">
  <pivotTables>
    <pivotTable tabId="11" name="PivotTable5"/>
    <pivotTable tabId="5" name="PivotTable2"/>
    <pivotTable tabId="7" name="PivotTable for tax"/>
    <pivotTable tabId="8" name="PivotTable2"/>
    <pivotTable tabId="9" name="PivotTable for map"/>
  </pivotTables>
  <data>
    <tabular pivotCacheId="80845653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83A235C-0DA1-4D93-9869-8FF474564FFC}" cache="Slicer_Order_Mode" caption="Order Mode" rowHeight="234950"/>
  <slicer name="Customer Gender" xr10:uid="{9E00B3B3-DA3D-4E89-A8D3-17A33C19F812}" cache="Slicer_Customer_Gender" caption="Customer Gender" rowHeight="234950"/>
  <slicer name="Gender Value" xr10:uid="{E2D776A1-8246-4EBF-ACCB-DC090C5DD615}" cache="Slicer_Gender_Value" caption="Gender Valu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0125C3E4-8D25-4F61-9D90-C48D1508EE48}" cache="Slicer_Order_Mode" caption="Order Mode" style="SlicerStyleDark5" rowHeight="234950"/>
  <slicer name="Gender Value 1" xr10:uid="{2B9203DA-3C7D-4BFA-B227-6B60093897F6}" cache="Slicer_Gender_Value" caption="Gender Valu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F15" sqref="F15"/>
    </sheetView>
  </sheetViews>
  <sheetFormatPr defaultRowHeight="13.8"/>
  <cols>
    <col min="2" max="2" width="19.09765625" bestFit="1" customWidth="1"/>
    <col min="3" max="3" width="8.09765625" bestFit="1" customWidth="1"/>
    <col min="4" max="4" width="9.09765625" bestFit="1" customWidth="1"/>
    <col min="5" max="5" width="7.3984375" bestFit="1" customWidth="1"/>
    <col min="6" max="6" width="10" bestFit="1" customWidth="1"/>
    <col min="7" max="7" width="9.3984375" bestFit="1" customWidth="1"/>
    <col min="8" max="8" width="15.69921875" bestFit="1" customWidth="1"/>
    <col min="9" max="9" width="10.69921875" bestFit="1" customWidth="1"/>
    <col min="10" max="10" width="7.796875" bestFit="1" customWidth="1"/>
    <col min="11" max="11" width="8.796875" bestFit="1" customWidth="1"/>
    <col min="12" max="12" width="19.69921875" bestFit="1" customWidth="1"/>
    <col min="13" max="13" width="13.296875" bestFit="1" customWidth="1"/>
    <col min="14" max="14" width="9.296875" bestFit="1" customWidth="1"/>
    <col min="15" max="15" width="12.097656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1" sqref="B11"/>
    </sheetView>
  </sheetViews>
  <sheetFormatPr defaultRowHeight="13.8"/>
  <cols>
    <col min="1" max="1" width="3.69921875" customWidth="1"/>
    <col min="2" max="2" width="52.7968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ECC27-9C23-40AF-9457-FE2A1D86143E}">
  <dimension ref="A2:K22"/>
  <sheetViews>
    <sheetView workbookViewId="0">
      <selection activeCell="B15" sqref="B15"/>
    </sheetView>
  </sheetViews>
  <sheetFormatPr defaultRowHeight="13.8"/>
  <cols>
    <col min="1" max="1" width="13.09765625" bestFit="1" customWidth="1"/>
    <col min="2" max="2" width="15.09765625" bestFit="1" customWidth="1"/>
    <col min="3" max="3" width="14.59765625" bestFit="1" customWidth="1"/>
    <col min="4" max="4" width="18.59765625" bestFit="1" customWidth="1"/>
    <col min="5" max="5" width="21.296875" bestFit="1" customWidth="1"/>
    <col min="9" max="9" width="7.296875" bestFit="1" customWidth="1"/>
    <col min="10" max="10" width="10.09765625" bestFit="1" customWidth="1"/>
    <col min="11" max="11" width="9" bestFit="1" customWidth="1"/>
  </cols>
  <sheetData>
    <row r="2" spans="1:11">
      <c r="G2" t="s">
        <v>2526</v>
      </c>
    </row>
    <row r="3" spans="1:11">
      <c r="A3" t="s">
        <v>2521</v>
      </c>
      <c r="B3" t="s">
        <v>2522</v>
      </c>
      <c r="C3" t="s">
        <v>2523</v>
      </c>
      <c r="D3" t="s">
        <v>2525</v>
      </c>
      <c r="E3" t="s">
        <v>2524</v>
      </c>
      <c r="G3" t="s">
        <v>2518</v>
      </c>
      <c r="H3" t="s">
        <v>2527</v>
      </c>
      <c r="I3" t="s">
        <v>4</v>
      </c>
      <c r="J3" t="s">
        <v>2507</v>
      </c>
      <c r="K3" t="s">
        <v>2528</v>
      </c>
    </row>
    <row r="4" spans="1:11">
      <c r="A4" s="7">
        <v>2400</v>
      </c>
      <c r="B4" s="7">
        <v>11997</v>
      </c>
      <c r="C4" s="7">
        <v>649019.80000000144</v>
      </c>
      <c r="D4" s="7">
        <v>3.9620833333333332</v>
      </c>
      <c r="E4" s="7">
        <v>5622</v>
      </c>
      <c r="G4" t="str">
        <f>TEXT(A4, "#,##")</f>
        <v>2,400</v>
      </c>
      <c r="H4" t="str">
        <f t="shared" ref="H4:K4" si="0">TEXT(B4, "#,##")</f>
        <v>11,997</v>
      </c>
      <c r="I4" t="str">
        <f>TEXT(C4, "$#,##,.ok")</f>
        <v>$649.ok</v>
      </c>
      <c r="J4" t="str">
        <f>TEXT(D4, "0.0")</f>
        <v>4.0</v>
      </c>
      <c r="K4" t="str">
        <f t="shared" si="0"/>
        <v>5,622</v>
      </c>
    </row>
    <row r="8" spans="1:11">
      <c r="A8" s="5" t="s">
        <v>2519</v>
      </c>
      <c r="B8" t="s">
        <v>2522</v>
      </c>
      <c r="C8" t="s">
        <v>2523</v>
      </c>
    </row>
    <row r="9" spans="1:11">
      <c r="A9" s="6">
        <v>1</v>
      </c>
      <c r="B9" s="7">
        <v>546</v>
      </c>
      <c r="C9" s="8">
        <v>32413.300000000003</v>
      </c>
    </row>
    <row r="10" spans="1:11">
      <c r="A10" s="6">
        <v>2</v>
      </c>
      <c r="B10" s="7">
        <v>905</v>
      </c>
      <c r="C10" s="8">
        <v>49562.999999999993</v>
      </c>
    </row>
    <row r="11" spans="1:11">
      <c r="A11" s="6">
        <v>3</v>
      </c>
      <c r="B11" s="7">
        <v>796</v>
      </c>
      <c r="C11" s="8">
        <v>41700.400000000016</v>
      </c>
    </row>
    <row r="12" spans="1:11">
      <c r="A12" s="6">
        <v>4</v>
      </c>
      <c r="B12" s="7">
        <v>913</v>
      </c>
      <c r="C12" s="8">
        <v>46782.599999999984</v>
      </c>
    </row>
    <row r="13" spans="1:11">
      <c r="A13" s="6">
        <v>5</v>
      </c>
      <c r="B13" s="7">
        <v>844</v>
      </c>
      <c r="C13" s="8">
        <v>42676.100000000006</v>
      </c>
    </row>
    <row r="14" spans="1:11">
      <c r="A14" s="6">
        <v>6</v>
      </c>
      <c r="B14" s="7">
        <v>1202</v>
      </c>
      <c r="C14" s="8">
        <v>62910.7</v>
      </c>
    </row>
    <row r="15" spans="1:11">
      <c r="A15" s="6">
        <v>7</v>
      </c>
      <c r="B15" s="7">
        <v>935</v>
      </c>
      <c r="C15" s="8">
        <v>50332.200000000004</v>
      </c>
    </row>
    <row r="16" spans="1:11">
      <c r="A16" s="6">
        <v>8</v>
      </c>
      <c r="B16" s="7">
        <v>1128</v>
      </c>
      <c r="C16" s="8">
        <v>58760.599999999977</v>
      </c>
    </row>
    <row r="17" spans="1:3">
      <c r="A17" s="6">
        <v>9</v>
      </c>
      <c r="B17" s="7">
        <v>1007</v>
      </c>
      <c r="C17" s="8">
        <v>52017.299999999996</v>
      </c>
    </row>
    <row r="18" spans="1:3">
      <c r="A18" s="6">
        <v>10</v>
      </c>
      <c r="B18" s="7">
        <v>1128</v>
      </c>
      <c r="C18" s="8">
        <v>64915.700000000033</v>
      </c>
    </row>
    <row r="19" spans="1:3">
      <c r="A19" s="6">
        <v>11</v>
      </c>
      <c r="B19" s="7">
        <v>861</v>
      </c>
      <c r="C19" s="8">
        <v>45943.80000000001</v>
      </c>
    </row>
    <row r="20" spans="1:3">
      <c r="A20" s="6">
        <v>12</v>
      </c>
      <c r="B20" s="7">
        <v>944</v>
      </c>
      <c r="C20" s="8">
        <v>55077.900000000031</v>
      </c>
    </row>
    <row r="21" spans="1:3">
      <c r="A21" s="6">
        <v>13</v>
      </c>
      <c r="B21" s="7">
        <v>788</v>
      </c>
      <c r="C21" s="8">
        <v>45926.19999999999</v>
      </c>
    </row>
    <row r="22" spans="1:3">
      <c r="A22" s="6" t="s">
        <v>2520</v>
      </c>
      <c r="B22" s="7">
        <v>11997</v>
      </c>
      <c r="C22" s="8">
        <v>649019.79999999993</v>
      </c>
    </row>
  </sheetData>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3B14-45DE-4A3F-8655-29C0714A23DC}">
  <dimension ref="A3:G19"/>
  <sheetViews>
    <sheetView showGridLines="0" workbookViewId="0">
      <selection activeCell="B7" sqref="B7"/>
    </sheetView>
  </sheetViews>
  <sheetFormatPr defaultRowHeight="13.8"/>
  <cols>
    <col min="1" max="1" width="14.59765625" bestFit="1" customWidth="1"/>
    <col min="2" max="2" width="16.09765625" bestFit="1" customWidth="1"/>
    <col min="3" max="3" width="7.09765625" bestFit="1" customWidth="1"/>
    <col min="4" max="4" width="6.09765625" bestFit="1" customWidth="1"/>
    <col min="5" max="5" width="9.09765625" bestFit="1" customWidth="1"/>
    <col min="6" max="6" width="11" bestFit="1" customWidth="1"/>
    <col min="7" max="7" width="6.796875" customWidth="1"/>
    <col min="8" max="9" width="6.09765625" bestFit="1" customWidth="1"/>
    <col min="10" max="10" width="9.09765625" bestFit="1" customWidth="1"/>
    <col min="11" max="11" width="14.5" bestFit="1" customWidth="1"/>
    <col min="12" max="12" width="13" bestFit="1" customWidth="1"/>
    <col min="13" max="14" width="6.09765625" bestFit="1" customWidth="1"/>
    <col min="15" max="15" width="9.09765625" bestFit="1" customWidth="1"/>
    <col min="16" max="16" width="16.19921875" bestFit="1" customWidth="1"/>
    <col min="17" max="17" width="12.5" bestFit="1" customWidth="1"/>
    <col min="18" max="19" width="6.09765625" bestFit="1" customWidth="1"/>
    <col min="20" max="20" width="9.09765625" bestFit="1" customWidth="1"/>
    <col min="21" max="21" width="15.69921875" bestFit="1" customWidth="1"/>
    <col min="22" max="22" width="9.69921875" bestFit="1" customWidth="1"/>
    <col min="23" max="24" width="6.09765625" bestFit="1" customWidth="1"/>
    <col min="25" max="25" width="9.09765625" bestFit="1" customWidth="1"/>
    <col min="26" max="26" width="12.796875" bestFit="1" customWidth="1"/>
    <col min="27" max="27" width="11" bestFit="1" customWidth="1"/>
  </cols>
  <sheetData>
    <row r="3" spans="1:7">
      <c r="A3" s="5" t="s">
        <v>2523</v>
      </c>
      <c r="B3" s="5" t="s">
        <v>2529</v>
      </c>
    </row>
    <row r="4" spans="1:7">
      <c r="A4" s="5" t="s">
        <v>2519</v>
      </c>
      <c r="B4" t="s">
        <v>2530</v>
      </c>
      <c r="C4" t="s">
        <v>2531</v>
      </c>
      <c r="D4" t="s">
        <v>2532</v>
      </c>
      <c r="E4" t="s">
        <v>2533</v>
      </c>
      <c r="F4" t="s">
        <v>2520</v>
      </c>
    </row>
    <row r="5" spans="1:7">
      <c r="A5" s="6" t="s">
        <v>18</v>
      </c>
      <c r="B5" s="9">
        <v>0.18961825201634841</v>
      </c>
      <c r="C5" s="9">
        <v>0.12262322351336576</v>
      </c>
      <c r="D5" s="9">
        <v>1.060537752469185E-2</v>
      </c>
      <c r="E5" s="9">
        <v>3.0599220547662797E-2</v>
      </c>
      <c r="F5" s="9">
        <v>0.35344607360206881</v>
      </c>
    </row>
    <row r="6" spans="1:7">
      <c r="A6" s="6" t="s">
        <v>51</v>
      </c>
      <c r="B6" s="9">
        <v>5.0283982091147303E-2</v>
      </c>
      <c r="C6" s="9">
        <v>4.3060781812819873E-2</v>
      </c>
      <c r="D6" s="9">
        <v>1.5320025675641944E-3</v>
      </c>
      <c r="E6" s="9">
        <v>1.7794988689097006E-2</v>
      </c>
      <c r="F6" s="9">
        <v>0.11267175516062837</v>
      </c>
    </row>
    <row r="7" spans="1:7">
      <c r="A7" s="6" t="s">
        <v>70</v>
      </c>
      <c r="B7" s="9">
        <v>6.3496059750411282E-2</v>
      </c>
      <c r="C7" s="9">
        <v>4.6071629863988765E-2</v>
      </c>
      <c r="D7" s="9">
        <v>2.306247051322625E-3</v>
      </c>
      <c r="E7" s="9">
        <v>3.8927934093844286E-3</v>
      </c>
      <c r="F7" s="9">
        <v>0.11576673007510711</v>
      </c>
    </row>
    <row r="8" spans="1:7">
      <c r="A8" s="6" t="s">
        <v>40</v>
      </c>
      <c r="B8" s="9">
        <v>9.6337892927149532E-2</v>
      </c>
      <c r="C8" s="9">
        <v>6.7920115842382611E-2</v>
      </c>
      <c r="D8" s="9">
        <v>5.4979832664581261E-3</v>
      </c>
      <c r="E8" s="9">
        <v>1.2933041488102518E-2</v>
      </c>
      <c r="F8" s="9">
        <v>0.1826890335240928</v>
      </c>
    </row>
    <row r="9" spans="1:7">
      <c r="A9" s="6" t="s">
        <v>35</v>
      </c>
      <c r="B9" s="9">
        <v>0.12522098709469262</v>
      </c>
      <c r="C9" s="9">
        <v>9.1492740283116228E-2</v>
      </c>
      <c r="D9" s="9">
        <v>6.3042760790965081E-3</v>
      </c>
      <c r="E9" s="9">
        <v>1.2408404181197551E-2</v>
      </c>
      <c r="F9" s="9">
        <v>0.23542640763810288</v>
      </c>
    </row>
    <row r="10" spans="1:7">
      <c r="A10" s="6" t="s">
        <v>2520</v>
      </c>
      <c r="B10" s="9">
        <v>0.52495717387974916</v>
      </c>
      <c r="C10" s="9">
        <v>0.3711684913156732</v>
      </c>
      <c r="D10" s="9">
        <v>2.6245886489133303E-2</v>
      </c>
      <c r="E10" s="9">
        <v>7.7628448315444312E-2</v>
      </c>
      <c r="F10" s="9">
        <v>1</v>
      </c>
    </row>
    <row r="13" spans="1:7">
      <c r="A13" s="6" t="s">
        <v>2534</v>
      </c>
    </row>
    <row r="14" spans="1:7">
      <c r="A14" s="10"/>
      <c r="B14" s="11" t="str">
        <f>B4</f>
        <v>Female</v>
      </c>
      <c r="C14" s="11" t="str">
        <f t="shared" ref="C14:E14" si="0">C4</f>
        <v>Male</v>
      </c>
      <c r="D14" s="11" t="str">
        <f t="shared" si="0"/>
        <v>Other</v>
      </c>
      <c r="E14" s="11" t="str">
        <f t="shared" si="0"/>
        <v>Unknown</v>
      </c>
      <c r="F14" s="11"/>
      <c r="G14" s="12"/>
    </row>
    <row r="15" spans="1:7">
      <c r="A15" s="13" t="str">
        <f>A5</f>
        <v>App</v>
      </c>
      <c r="B15" s="14">
        <f t="shared" ref="B15:E15" si="1">B5</f>
        <v>0.18961825201634841</v>
      </c>
      <c r="C15" s="14">
        <f t="shared" si="1"/>
        <v>0.12262322351336576</v>
      </c>
      <c r="D15" s="14">
        <f t="shared" si="1"/>
        <v>1.060537752469185E-2</v>
      </c>
      <c r="E15" s="14">
        <f t="shared" si="1"/>
        <v>3.0599220547662797E-2</v>
      </c>
      <c r="F15" s="14"/>
      <c r="G15" s="15"/>
    </row>
    <row r="16" spans="1:7">
      <c r="A16" s="13" t="str">
        <f>A6</f>
        <v>Instagram</v>
      </c>
      <c r="B16" s="14">
        <f t="shared" ref="B16:E16" si="2">B6</f>
        <v>5.0283982091147303E-2</v>
      </c>
      <c r="C16" s="14">
        <f t="shared" si="2"/>
        <v>4.3060781812819873E-2</v>
      </c>
      <c r="D16" s="14">
        <f t="shared" si="2"/>
        <v>1.5320025675641944E-3</v>
      </c>
      <c r="E16" s="14">
        <f t="shared" si="2"/>
        <v>1.7794988689097006E-2</v>
      </c>
      <c r="F16" s="14"/>
      <c r="G16" s="15"/>
    </row>
    <row r="17" spans="1:7">
      <c r="A17" s="13" t="str">
        <f>A7</f>
        <v>Partner App</v>
      </c>
      <c r="B17" s="14">
        <f t="shared" ref="B17:E17" si="3">B7</f>
        <v>6.3496059750411282E-2</v>
      </c>
      <c r="C17" s="14">
        <f t="shared" si="3"/>
        <v>4.6071629863988765E-2</v>
      </c>
      <c r="D17" s="14">
        <f t="shared" si="3"/>
        <v>2.306247051322625E-3</v>
      </c>
      <c r="E17" s="14">
        <f t="shared" si="3"/>
        <v>3.8927934093844286E-3</v>
      </c>
      <c r="F17" s="14"/>
      <c r="G17" s="15"/>
    </row>
    <row r="18" spans="1:7">
      <c r="A18" s="13" t="str">
        <f>A8</f>
        <v>Target.com</v>
      </c>
      <c r="B18" s="14">
        <f t="shared" ref="B18:E18" si="4">B8</f>
        <v>9.6337892927149532E-2</v>
      </c>
      <c r="C18" s="14">
        <f t="shared" si="4"/>
        <v>6.7920115842382611E-2</v>
      </c>
      <c r="D18" s="14">
        <f t="shared" si="4"/>
        <v>5.4979832664581261E-3</v>
      </c>
      <c r="E18" s="14">
        <f t="shared" si="4"/>
        <v>1.2933041488102518E-2</v>
      </c>
      <c r="F18" s="14"/>
      <c r="G18" s="15"/>
    </row>
    <row r="19" spans="1:7">
      <c r="A19" s="16"/>
      <c r="B19" s="17"/>
      <c r="C19" s="17"/>
      <c r="D19" s="17"/>
      <c r="E19" s="17"/>
      <c r="F19" s="17"/>
      <c r="G19" s="18"/>
    </row>
  </sheetData>
  <conditionalFormatting sqref="B15:G18">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5342-C4AC-40CE-BB15-A89F9EBECAEC}">
  <dimension ref="A3:B11"/>
  <sheetViews>
    <sheetView workbookViewId="0">
      <selection activeCell="B6" sqref="B6"/>
    </sheetView>
  </sheetViews>
  <sheetFormatPr defaultRowHeight="13.8"/>
  <cols>
    <col min="1" max="1" width="13.09765625" bestFit="1" customWidth="1"/>
    <col min="2" max="2" width="13.5" bestFit="1" customWidth="1"/>
  </cols>
  <sheetData>
    <row r="3" spans="1:2">
      <c r="A3" s="5" t="s">
        <v>2519</v>
      </c>
      <c r="B3" t="s">
        <v>2521</v>
      </c>
    </row>
    <row r="4" spans="1:2">
      <c r="A4" s="6">
        <v>1</v>
      </c>
      <c r="B4" s="7">
        <v>397</v>
      </c>
    </row>
    <row r="5" spans="1:2">
      <c r="A5" s="6">
        <v>2</v>
      </c>
      <c r="B5" s="7">
        <v>540</v>
      </c>
    </row>
    <row r="6" spans="1:2">
      <c r="A6" s="6">
        <v>3</v>
      </c>
      <c r="B6" s="7">
        <v>375</v>
      </c>
    </row>
    <row r="7" spans="1:2">
      <c r="A7" s="6">
        <v>4</v>
      </c>
      <c r="B7" s="7">
        <v>246</v>
      </c>
    </row>
    <row r="8" spans="1:2">
      <c r="A8" s="6">
        <v>5</v>
      </c>
      <c r="B8" s="7">
        <v>195</v>
      </c>
    </row>
    <row r="9" spans="1:2">
      <c r="A9" s="6" t="s">
        <v>2535</v>
      </c>
      <c r="B9" s="7">
        <v>414</v>
      </c>
    </row>
    <row r="10" spans="1:2">
      <c r="A10" s="6" t="s">
        <v>2536</v>
      </c>
      <c r="B10" s="7">
        <v>233</v>
      </c>
    </row>
    <row r="11" spans="1:2">
      <c r="A11" s="6" t="s">
        <v>2520</v>
      </c>
      <c r="B11" s="7">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24981-3730-4B8A-80DB-20D58963D458}">
  <dimension ref="A3:M25"/>
  <sheetViews>
    <sheetView workbookViewId="0">
      <selection activeCell="A6" sqref="A6"/>
    </sheetView>
  </sheetViews>
  <sheetFormatPr defaultRowHeight="13.8"/>
  <cols>
    <col min="1" max="1" width="19.19921875" bestFit="1" customWidth="1"/>
    <col min="2" max="2" width="16.09765625" bestFit="1" customWidth="1"/>
    <col min="3" max="4" width="4.8984375" bestFit="1" customWidth="1"/>
    <col min="5" max="5" width="3.8984375" bestFit="1" customWidth="1"/>
    <col min="6" max="6" width="11" bestFit="1" customWidth="1"/>
    <col min="12" max="12" width="13.09765625" bestFit="1" customWidth="1"/>
    <col min="13" max="13" width="15.09765625" bestFit="1" customWidth="1"/>
  </cols>
  <sheetData>
    <row r="3" spans="1:13">
      <c r="A3" s="5" t="s">
        <v>2522</v>
      </c>
      <c r="B3" s="5" t="s">
        <v>2529</v>
      </c>
    </row>
    <row r="4" spans="1:13">
      <c r="A4" s="5" t="s">
        <v>2519</v>
      </c>
      <c r="C4" t="s">
        <v>27</v>
      </c>
      <c r="D4" t="s">
        <v>23</v>
      </c>
      <c r="E4" t="s">
        <v>89</v>
      </c>
      <c r="F4" t="s">
        <v>2520</v>
      </c>
    </row>
    <row r="5" spans="1:13">
      <c r="A5" s="6" t="s">
        <v>44</v>
      </c>
      <c r="B5" s="7">
        <v>98</v>
      </c>
      <c r="C5" s="7">
        <v>744</v>
      </c>
      <c r="D5" s="7">
        <v>713</v>
      </c>
      <c r="E5" s="7">
        <v>90</v>
      </c>
      <c r="F5" s="7">
        <v>1645</v>
      </c>
    </row>
    <row r="6" spans="1:13">
      <c r="A6" s="6" t="s">
        <v>39</v>
      </c>
      <c r="B6" s="7">
        <v>214</v>
      </c>
      <c r="C6" s="7">
        <v>716</v>
      </c>
      <c r="D6" s="7">
        <v>598</v>
      </c>
      <c r="E6" s="7">
        <v>18</v>
      </c>
      <c r="F6" s="7">
        <v>1546</v>
      </c>
      <c r="L6" s="5" t="s">
        <v>2519</v>
      </c>
      <c r="M6" t="s">
        <v>2522</v>
      </c>
    </row>
    <row r="7" spans="1:13">
      <c r="A7" s="6" t="s">
        <v>26</v>
      </c>
      <c r="B7" s="7">
        <v>137</v>
      </c>
      <c r="C7" s="7">
        <v>627</v>
      </c>
      <c r="D7" s="7">
        <v>393</v>
      </c>
      <c r="E7" s="7">
        <v>29</v>
      </c>
      <c r="F7" s="7">
        <v>1186</v>
      </c>
      <c r="L7" s="6"/>
      <c r="M7" s="7">
        <v>736</v>
      </c>
    </row>
    <row r="8" spans="1:13">
      <c r="A8" s="6" t="s">
        <v>22</v>
      </c>
      <c r="B8" s="7">
        <v>16</v>
      </c>
      <c r="C8" s="7">
        <v>568</v>
      </c>
      <c r="D8" s="7">
        <v>306</v>
      </c>
      <c r="E8" s="7">
        <v>22</v>
      </c>
      <c r="F8" s="7">
        <v>912</v>
      </c>
      <c r="L8" s="6" t="s">
        <v>27</v>
      </c>
      <c r="M8" s="7">
        <v>6272</v>
      </c>
    </row>
    <row r="9" spans="1:13">
      <c r="A9" s="6" t="s">
        <v>54</v>
      </c>
      <c r="B9" s="7">
        <v>22</v>
      </c>
      <c r="C9" s="7">
        <v>482</v>
      </c>
      <c r="D9" s="7">
        <v>295</v>
      </c>
      <c r="E9" s="7">
        <v>8</v>
      </c>
      <c r="F9" s="7">
        <v>807</v>
      </c>
      <c r="L9" s="6" t="s">
        <v>23</v>
      </c>
      <c r="M9" s="7">
        <v>4672</v>
      </c>
    </row>
    <row r="10" spans="1:13">
      <c r="A10" s="6" t="s">
        <v>16</v>
      </c>
      <c r="B10" s="7">
        <v>24</v>
      </c>
      <c r="C10" s="7">
        <v>428</v>
      </c>
      <c r="D10" s="7">
        <v>293</v>
      </c>
      <c r="E10" s="7"/>
      <c r="F10" s="7">
        <v>745</v>
      </c>
      <c r="L10" s="6" t="s">
        <v>89</v>
      </c>
      <c r="M10" s="7">
        <v>317</v>
      </c>
    </row>
    <row r="11" spans="1:13">
      <c r="A11" s="6" t="s">
        <v>46</v>
      </c>
      <c r="B11" s="7">
        <v>39</v>
      </c>
      <c r="C11" s="7">
        <v>445</v>
      </c>
      <c r="D11" s="7">
        <v>202</v>
      </c>
      <c r="E11" s="7">
        <v>14</v>
      </c>
      <c r="F11" s="7">
        <v>700</v>
      </c>
      <c r="L11" s="6" t="s">
        <v>2520</v>
      </c>
      <c r="M11" s="7">
        <v>11997</v>
      </c>
    </row>
    <row r="12" spans="1:13">
      <c r="A12" s="6" t="s">
        <v>32</v>
      </c>
      <c r="B12" s="7">
        <v>15</v>
      </c>
      <c r="C12" s="7">
        <v>431</v>
      </c>
      <c r="D12" s="7">
        <v>187</v>
      </c>
      <c r="E12" s="7">
        <v>14</v>
      </c>
      <c r="F12" s="7">
        <v>647</v>
      </c>
    </row>
    <row r="13" spans="1:13">
      <c r="A13" s="6" t="s">
        <v>42</v>
      </c>
      <c r="B13" s="7">
        <v>9</v>
      </c>
      <c r="C13" s="7">
        <v>264</v>
      </c>
      <c r="D13" s="7">
        <v>318</v>
      </c>
      <c r="E13" s="7">
        <v>15</v>
      </c>
      <c r="F13" s="7">
        <v>606</v>
      </c>
    </row>
    <row r="14" spans="1:13">
      <c r="A14" s="6" t="s">
        <v>37</v>
      </c>
      <c r="B14" s="7">
        <v>23</v>
      </c>
      <c r="C14" s="7">
        <v>296</v>
      </c>
      <c r="D14" s="7">
        <v>275</v>
      </c>
      <c r="E14" s="7">
        <v>9</v>
      </c>
      <c r="F14" s="7">
        <v>603</v>
      </c>
    </row>
    <row r="15" spans="1:13">
      <c r="A15" s="6" t="s">
        <v>123</v>
      </c>
      <c r="B15" s="7">
        <v>8</v>
      </c>
      <c r="C15" s="7">
        <v>153</v>
      </c>
      <c r="D15" s="7">
        <v>246</v>
      </c>
      <c r="E15" s="7">
        <v>30</v>
      </c>
      <c r="F15" s="7">
        <v>437</v>
      </c>
    </row>
    <row r="16" spans="1:13">
      <c r="A16" s="6" t="s">
        <v>146</v>
      </c>
      <c r="B16" s="7">
        <v>31</v>
      </c>
      <c r="C16" s="7">
        <v>189</v>
      </c>
      <c r="D16" s="7">
        <v>168</v>
      </c>
      <c r="E16" s="7">
        <v>10</v>
      </c>
      <c r="F16" s="7">
        <v>398</v>
      </c>
    </row>
    <row r="17" spans="1:6">
      <c r="A17" s="6" t="s">
        <v>69</v>
      </c>
      <c r="B17" s="7">
        <v>24</v>
      </c>
      <c r="C17" s="7">
        <v>234</v>
      </c>
      <c r="D17" s="7">
        <v>93</v>
      </c>
      <c r="E17" s="7">
        <v>19</v>
      </c>
      <c r="F17" s="7">
        <v>370</v>
      </c>
    </row>
    <row r="18" spans="1:6">
      <c r="A18" s="6" t="s">
        <v>30</v>
      </c>
      <c r="B18" s="7">
        <v>28</v>
      </c>
      <c r="C18" s="7">
        <v>146</v>
      </c>
      <c r="D18" s="7">
        <v>94</v>
      </c>
      <c r="E18" s="7">
        <v>4</v>
      </c>
      <c r="F18" s="7">
        <v>272</v>
      </c>
    </row>
    <row r="19" spans="1:6">
      <c r="A19" s="6" t="s">
        <v>135</v>
      </c>
      <c r="B19" s="7">
        <v>12</v>
      </c>
      <c r="C19" s="7">
        <v>127</v>
      </c>
      <c r="D19" s="7">
        <v>118</v>
      </c>
      <c r="E19" s="7">
        <v>13</v>
      </c>
      <c r="F19" s="7">
        <v>270</v>
      </c>
    </row>
    <row r="20" spans="1:6">
      <c r="A20" s="6" t="s">
        <v>67</v>
      </c>
      <c r="B20" s="7"/>
      <c r="C20" s="7">
        <v>179</v>
      </c>
      <c r="D20" s="7">
        <v>76</v>
      </c>
      <c r="E20" s="7">
        <v>3</v>
      </c>
      <c r="F20" s="7">
        <v>258</v>
      </c>
    </row>
    <row r="21" spans="1:6">
      <c r="A21" s="6" t="s">
        <v>128</v>
      </c>
      <c r="B21" s="7">
        <v>24</v>
      </c>
      <c r="C21" s="7">
        <v>99</v>
      </c>
      <c r="D21" s="7">
        <v>69</v>
      </c>
      <c r="E21" s="7">
        <v>3</v>
      </c>
      <c r="F21" s="7">
        <v>195</v>
      </c>
    </row>
    <row r="22" spans="1:6">
      <c r="A22" s="6" t="s">
        <v>76</v>
      </c>
      <c r="B22" s="7">
        <v>6</v>
      </c>
      <c r="C22" s="7">
        <v>75</v>
      </c>
      <c r="D22" s="7">
        <v>103</v>
      </c>
      <c r="E22" s="7">
        <v>4</v>
      </c>
      <c r="F22" s="7">
        <v>188</v>
      </c>
    </row>
    <row r="23" spans="1:6">
      <c r="A23" s="6" t="s">
        <v>81</v>
      </c>
      <c r="B23" s="7">
        <v>6</v>
      </c>
      <c r="C23" s="7">
        <v>43</v>
      </c>
      <c r="D23" s="7">
        <v>90</v>
      </c>
      <c r="E23" s="7">
        <v>8</v>
      </c>
      <c r="F23" s="7">
        <v>147</v>
      </c>
    </row>
    <row r="24" spans="1:6">
      <c r="A24" s="6" t="s">
        <v>171</v>
      </c>
      <c r="B24" s="7"/>
      <c r="C24" s="7">
        <v>26</v>
      </c>
      <c r="D24" s="7">
        <v>35</v>
      </c>
      <c r="E24" s="7">
        <v>4</v>
      </c>
      <c r="F24" s="7">
        <v>65</v>
      </c>
    </row>
    <row r="25" spans="1:6">
      <c r="A25" s="6" t="s">
        <v>2520</v>
      </c>
      <c r="B25" s="7">
        <v>736</v>
      </c>
      <c r="C25" s="7">
        <v>6272</v>
      </c>
      <c r="D25" s="7">
        <v>4672</v>
      </c>
      <c r="E25" s="7">
        <v>317</v>
      </c>
      <c r="F25" s="7">
        <v>11997</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65DD-75A5-4142-B544-6D2C77CCAAE2}">
  <dimension ref="A2:L61"/>
  <sheetViews>
    <sheetView topLeftCell="A44" workbookViewId="0">
      <selection activeCell="J4" sqref="J4:L61"/>
    </sheetView>
  </sheetViews>
  <sheetFormatPr defaultRowHeight="13.8"/>
  <cols>
    <col min="1" max="1" width="24.296875" bestFit="1" customWidth="1"/>
    <col min="2" max="2" width="20.5" bestFit="1" customWidth="1"/>
    <col min="3" max="3" width="15.09765625" bestFit="1" customWidth="1"/>
    <col min="4" max="4" width="14.59765625" bestFit="1" customWidth="1"/>
    <col min="6" max="6" width="9.796875" bestFit="1" customWidth="1"/>
    <col min="7" max="7" width="20.5" bestFit="1" customWidth="1"/>
    <col min="8" max="8" width="13.796875" bestFit="1" customWidth="1"/>
    <col min="10" max="10" width="13.3984375" bestFit="1" customWidth="1"/>
    <col min="11" max="11" width="20.5" bestFit="1" customWidth="1"/>
    <col min="12" max="12" width="13.09765625" bestFit="1" customWidth="1"/>
  </cols>
  <sheetData>
    <row r="2" spans="1:12">
      <c r="F2" t="s">
        <v>2537</v>
      </c>
      <c r="J2" t="s">
        <v>2538</v>
      </c>
    </row>
    <row r="3" spans="1:12">
      <c r="A3" s="5" t="s">
        <v>10</v>
      </c>
      <c r="B3" s="5" t="s">
        <v>11</v>
      </c>
      <c r="C3" t="s">
        <v>2522</v>
      </c>
      <c r="D3" t="s">
        <v>2523</v>
      </c>
      <c r="F3" t="str">
        <f>A3</f>
        <v>State</v>
      </c>
      <c r="G3" t="str">
        <f t="shared" ref="G3:H4" si="0">B3</f>
        <v>County</v>
      </c>
      <c r="H3" t="str">
        <f t="shared" si="0"/>
        <v>Sum of Quantity</v>
      </c>
      <c r="J3" t="str">
        <f>A3</f>
        <v>State</v>
      </c>
      <c r="K3" t="str">
        <f>B3</f>
        <v>County</v>
      </c>
      <c r="L3" t="str">
        <f>D3</f>
        <v>Sum of Amount</v>
      </c>
    </row>
    <row r="4" spans="1:12">
      <c r="A4" t="s">
        <v>19</v>
      </c>
      <c r="B4" t="s">
        <v>115</v>
      </c>
      <c r="C4" s="7">
        <v>579</v>
      </c>
      <c r="D4" s="7">
        <v>31884.999999999996</v>
      </c>
      <c r="F4" t="str">
        <f>IF(A4="","",A4)</f>
        <v>California</v>
      </c>
      <c r="G4" t="str">
        <f t="shared" ref="G4:H4" si="1">IF(B4="","",B4)</f>
        <v>Alameda County</v>
      </c>
      <c r="H4">
        <f t="shared" si="1"/>
        <v>579</v>
      </c>
      <c r="J4" t="str">
        <f>IF(A4="","",A4)</f>
        <v>California</v>
      </c>
      <c r="K4" t="str">
        <f t="shared" ref="K4:L4" si="2">IF(B4="","",B4)</f>
        <v>Alameda County</v>
      </c>
      <c r="L4">
        <f t="shared" si="2"/>
        <v>579</v>
      </c>
    </row>
    <row r="5" spans="1:12">
      <c r="A5" t="s">
        <v>19</v>
      </c>
      <c r="B5" t="s">
        <v>20</v>
      </c>
      <c r="C5" s="7">
        <v>1</v>
      </c>
      <c r="D5" s="7">
        <v>10.9</v>
      </c>
      <c r="F5" t="str">
        <f t="shared" ref="F5:F61" si="3">IF(A5="","",A5)</f>
        <v>California</v>
      </c>
      <c r="G5" t="str">
        <f t="shared" ref="G5:G61" si="4">IF(B5="","",B5)</f>
        <v>Alpine County</v>
      </c>
      <c r="H5">
        <f t="shared" ref="H5:H61" si="5">IF(C5="","",C5)</f>
        <v>1</v>
      </c>
      <c r="J5" t="str">
        <f t="shared" ref="J5:J61" si="6">IF(A5="","",A5)</f>
        <v>California</v>
      </c>
      <c r="K5" t="str">
        <f t="shared" ref="K5:K61" si="7">IF(B5="","",B5)</f>
        <v>Alpine County</v>
      </c>
      <c r="L5">
        <f t="shared" ref="L5:L61" si="8">IF(C5="","",C5)</f>
        <v>1</v>
      </c>
    </row>
    <row r="6" spans="1:12">
      <c r="A6" t="s">
        <v>19</v>
      </c>
      <c r="B6" t="s">
        <v>641</v>
      </c>
      <c r="C6" s="7">
        <v>9</v>
      </c>
      <c r="D6" s="7">
        <v>800.3</v>
      </c>
      <c r="F6" t="str">
        <f t="shared" si="3"/>
        <v>California</v>
      </c>
      <c r="G6" t="str">
        <f t="shared" si="4"/>
        <v>Amador County</v>
      </c>
      <c r="H6">
        <f t="shared" si="5"/>
        <v>9</v>
      </c>
      <c r="J6" t="str">
        <f t="shared" si="6"/>
        <v>California</v>
      </c>
      <c r="K6" t="str">
        <f t="shared" si="7"/>
        <v>Amador County</v>
      </c>
      <c r="L6">
        <f t="shared" si="8"/>
        <v>9</v>
      </c>
    </row>
    <row r="7" spans="1:12">
      <c r="A7" t="s">
        <v>19</v>
      </c>
      <c r="B7" t="s">
        <v>967</v>
      </c>
      <c r="C7" s="7">
        <v>35</v>
      </c>
      <c r="D7" s="7">
        <v>1062.5999999999999</v>
      </c>
      <c r="F7" t="str">
        <f t="shared" si="3"/>
        <v>California</v>
      </c>
      <c r="G7" t="str">
        <f t="shared" si="4"/>
        <v>Butte County</v>
      </c>
      <c r="H7">
        <f t="shared" si="5"/>
        <v>35</v>
      </c>
      <c r="J7" t="str">
        <f t="shared" si="6"/>
        <v>California</v>
      </c>
      <c r="K7" t="str">
        <f t="shared" si="7"/>
        <v>Butte County</v>
      </c>
      <c r="L7">
        <f t="shared" si="8"/>
        <v>35</v>
      </c>
    </row>
    <row r="8" spans="1:12">
      <c r="A8" t="s">
        <v>19</v>
      </c>
      <c r="B8" t="s">
        <v>84</v>
      </c>
      <c r="C8" s="7">
        <v>12</v>
      </c>
      <c r="D8" s="7">
        <v>326.20000000000005</v>
      </c>
      <c r="F8" t="str">
        <f t="shared" si="3"/>
        <v>California</v>
      </c>
      <c r="G8" t="str">
        <f t="shared" si="4"/>
        <v>Calaveras County</v>
      </c>
      <c r="H8">
        <f t="shared" si="5"/>
        <v>12</v>
      </c>
      <c r="J8" t="str">
        <f t="shared" si="6"/>
        <v>California</v>
      </c>
      <c r="K8" t="str">
        <f t="shared" si="7"/>
        <v>Calaveras County</v>
      </c>
      <c r="L8">
        <f t="shared" si="8"/>
        <v>12</v>
      </c>
    </row>
    <row r="9" spans="1:12">
      <c r="A9" t="s">
        <v>19</v>
      </c>
      <c r="B9" t="s">
        <v>1383</v>
      </c>
      <c r="C9" s="7">
        <v>4</v>
      </c>
      <c r="D9" s="7">
        <v>167.5</v>
      </c>
      <c r="F9" t="str">
        <f t="shared" si="3"/>
        <v>California</v>
      </c>
      <c r="G9" t="str">
        <f t="shared" si="4"/>
        <v>Colusa County</v>
      </c>
      <c r="H9">
        <f t="shared" si="5"/>
        <v>4</v>
      </c>
      <c r="J9" t="str">
        <f t="shared" si="6"/>
        <v>California</v>
      </c>
      <c r="K9" t="str">
        <f t="shared" si="7"/>
        <v>Colusa County</v>
      </c>
      <c r="L9">
        <f t="shared" si="8"/>
        <v>4</v>
      </c>
    </row>
    <row r="10" spans="1:12">
      <c r="A10" t="s">
        <v>19</v>
      </c>
      <c r="B10" t="s">
        <v>24</v>
      </c>
      <c r="C10" s="7">
        <v>341</v>
      </c>
      <c r="D10" s="7">
        <v>16168.7</v>
      </c>
      <c r="F10" t="str">
        <f t="shared" si="3"/>
        <v>California</v>
      </c>
      <c r="G10" t="str">
        <f t="shared" si="4"/>
        <v>Contra Costa County</v>
      </c>
      <c r="H10">
        <f t="shared" si="5"/>
        <v>341</v>
      </c>
      <c r="J10" t="str">
        <f t="shared" si="6"/>
        <v>California</v>
      </c>
      <c r="K10" t="str">
        <f t="shared" si="7"/>
        <v>Contra Costa County</v>
      </c>
      <c r="L10">
        <f t="shared" si="8"/>
        <v>341</v>
      </c>
    </row>
    <row r="11" spans="1:12">
      <c r="A11" t="s">
        <v>19</v>
      </c>
      <c r="B11" t="s">
        <v>2204</v>
      </c>
      <c r="C11" s="7">
        <v>13</v>
      </c>
      <c r="D11" s="7">
        <v>322.40000000000003</v>
      </c>
      <c r="F11" t="str">
        <f t="shared" si="3"/>
        <v>California</v>
      </c>
      <c r="G11" t="str">
        <f t="shared" si="4"/>
        <v>Del Norte County</v>
      </c>
      <c r="H11">
        <f t="shared" si="5"/>
        <v>13</v>
      </c>
      <c r="J11" t="str">
        <f t="shared" si="6"/>
        <v>California</v>
      </c>
      <c r="K11" t="str">
        <f t="shared" si="7"/>
        <v>Del Norte County</v>
      </c>
      <c r="L11">
        <f t="shared" si="8"/>
        <v>13</v>
      </c>
    </row>
    <row r="12" spans="1:12">
      <c r="A12" t="s">
        <v>19</v>
      </c>
      <c r="B12" t="s">
        <v>437</v>
      </c>
      <c r="C12" s="7">
        <v>31</v>
      </c>
      <c r="D12" s="7">
        <v>2092.8000000000002</v>
      </c>
      <c r="F12" t="str">
        <f t="shared" si="3"/>
        <v>California</v>
      </c>
      <c r="G12" t="str">
        <f t="shared" si="4"/>
        <v>El Dorado County</v>
      </c>
      <c r="H12">
        <f t="shared" si="5"/>
        <v>31</v>
      </c>
      <c r="J12" t="str">
        <f t="shared" si="6"/>
        <v>California</v>
      </c>
      <c r="K12" t="str">
        <f t="shared" si="7"/>
        <v>El Dorado County</v>
      </c>
      <c r="L12">
        <f t="shared" si="8"/>
        <v>31</v>
      </c>
    </row>
    <row r="13" spans="1:12">
      <c r="A13" t="s">
        <v>19</v>
      </c>
      <c r="B13" t="s">
        <v>28</v>
      </c>
      <c r="C13" s="7">
        <v>279</v>
      </c>
      <c r="D13" s="7">
        <v>12662.500000000002</v>
      </c>
      <c r="F13" t="str">
        <f t="shared" si="3"/>
        <v>California</v>
      </c>
      <c r="G13" t="str">
        <f t="shared" si="4"/>
        <v>Fresno County</v>
      </c>
      <c r="H13">
        <f t="shared" si="5"/>
        <v>279</v>
      </c>
      <c r="J13" t="str">
        <f t="shared" si="6"/>
        <v>California</v>
      </c>
      <c r="K13" t="str">
        <f t="shared" si="7"/>
        <v>Fresno County</v>
      </c>
      <c r="L13">
        <f t="shared" si="8"/>
        <v>279</v>
      </c>
    </row>
    <row r="14" spans="1:12">
      <c r="A14" t="s">
        <v>19</v>
      </c>
      <c r="B14" t="s">
        <v>208</v>
      </c>
      <c r="C14" s="7">
        <v>9</v>
      </c>
      <c r="D14" s="7">
        <v>343.2</v>
      </c>
      <c r="F14" t="str">
        <f t="shared" si="3"/>
        <v>California</v>
      </c>
      <c r="G14" t="str">
        <f t="shared" si="4"/>
        <v>Glenn County</v>
      </c>
      <c r="H14">
        <f t="shared" si="5"/>
        <v>9</v>
      </c>
      <c r="J14" t="str">
        <f t="shared" si="6"/>
        <v>California</v>
      </c>
      <c r="K14" t="str">
        <f t="shared" si="7"/>
        <v>Glenn County</v>
      </c>
      <c r="L14">
        <f t="shared" si="8"/>
        <v>9</v>
      </c>
    </row>
    <row r="15" spans="1:12">
      <c r="A15" t="s">
        <v>19</v>
      </c>
      <c r="B15" t="s">
        <v>587</v>
      </c>
      <c r="C15" s="7">
        <v>49</v>
      </c>
      <c r="D15" s="7">
        <v>2188.2999999999997</v>
      </c>
      <c r="F15" t="str">
        <f t="shared" si="3"/>
        <v>California</v>
      </c>
      <c r="G15" t="str">
        <f t="shared" si="4"/>
        <v>Humboldt County</v>
      </c>
      <c r="H15">
        <f t="shared" si="5"/>
        <v>49</v>
      </c>
      <c r="J15" t="str">
        <f t="shared" si="6"/>
        <v>California</v>
      </c>
      <c r="K15" t="str">
        <f t="shared" si="7"/>
        <v>Humboldt County</v>
      </c>
      <c r="L15">
        <f t="shared" si="8"/>
        <v>49</v>
      </c>
    </row>
    <row r="16" spans="1:12">
      <c r="A16" t="s">
        <v>19</v>
      </c>
      <c r="B16" t="s">
        <v>331</v>
      </c>
      <c r="C16" s="7">
        <v>59</v>
      </c>
      <c r="D16" s="7">
        <v>2661.5999999999995</v>
      </c>
      <c r="F16" t="str">
        <f t="shared" si="3"/>
        <v>California</v>
      </c>
      <c r="G16" t="str">
        <f t="shared" si="4"/>
        <v>Imperial County</v>
      </c>
      <c r="H16">
        <f t="shared" si="5"/>
        <v>59</v>
      </c>
      <c r="J16" t="str">
        <f t="shared" si="6"/>
        <v>California</v>
      </c>
      <c r="K16" t="str">
        <f t="shared" si="7"/>
        <v>Imperial County</v>
      </c>
      <c r="L16">
        <f t="shared" si="8"/>
        <v>59</v>
      </c>
    </row>
    <row r="17" spans="1:12">
      <c r="A17" t="s">
        <v>19</v>
      </c>
      <c r="B17" t="s">
        <v>86</v>
      </c>
      <c r="C17" s="7">
        <v>8</v>
      </c>
      <c r="D17" s="7">
        <v>887.5</v>
      </c>
      <c r="F17" t="str">
        <f t="shared" si="3"/>
        <v>California</v>
      </c>
      <c r="G17" t="str">
        <f t="shared" si="4"/>
        <v>Inyo County</v>
      </c>
      <c r="H17">
        <f t="shared" si="5"/>
        <v>8</v>
      </c>
      <c r="J17" t="str">
        <f t="shared" si="6"/>
        <v>California</v>
      </c>
      <c r="K17" t="str">
        <f t="shared" si="7"/>
        <v>Inyo County</v>
      </c>
      <c r="L17">
        <f t="shared" si="8"/>
        <v>8</v>
      </c>
    </row>
    <row r="18" spans="1:12">
      <c r="A18" t="s">
        <v>19</v>
      </c>
      <c r="B18" t="s">
        <v>147</v>
      </c>
      <c r="C18" s="7">
        <v>222</v>
      </c>
      <c r="D18" s="7">
        <v>11354.199999999993</v>
      </c>
      <c r="F18" t="str">
        <f t="shared" si="3"/>
        <v>California</v>
      </c>
      <c r="G18" t="str">
        <f t="shared" si="4"/>
        <v>Kern County</v>
      </c>
      <c r="H18">
        <f t="shared" si="5"/>
        <v>222</v>
      </c>
      <c r="J18" t="str">
        <f t="shared" si="6"/>
        <v>California</v>
      </c>
      <c r="K18" t="str">
        <f t="shared" si="7"/>
        <v>Kern County</v>
      </c>
      <c r="L18">
        <f t="shared" si="8"/>
        <v>222</v>
      </c>
    </row>
    <row r="19" spans="1:12">
      <c r="A19" t="s">
        <v>19</v>
      </c>
      <c r="B19" t="s">
        <v>334</v>
      </c>
      <c r="C19" s="7">
        <v>36</v>
      </c>
      <c r="D19" s="7">
        <v>1558.4</v>
      </c>
      <c r="F19" t="str">
        <f t="shared" si="3"/>
        <v>California</v>
      </c>
      <c r="G19" t="str">
        <f t="shared" si="4"/>
        <v>Kings County</v>
      </c>
      <c r="H19">
        <f t="shared" si="5"/>
        <v>36</v>
      </c>
      <c r="J19" t="str">
        <f t="shared" si="6"/>
        <v>California</v>
      </c>
      <c r="K19" t="str">
        <f t="shared" si="7"/>
        <v>Kings County</v>
      </c>
      <c r="L19">
        <f t="shared" si="8"/>
        <v>36</v>
      </c>
    </row>
    <row r="20" spans="1:12">
      <c r="A20" t="s">
        <v>19</v>
      </c>
      <c r="B20" t="s">
        <v>949</v>
      </c>
      <c r="C20" s="7">
        <v>30</v>
      </c>
      <c r="D20" s="7">
        <v>2223.9</v>
      </c>
      <c r="F20" t="str">
        <f t="shared" si="3"/>
        <v>California</v>
      </c>
      <c r="G20" t="str">
        <f t="shared" si="4"/>
        <v>Lake County</v>
      </c>
      <c r="H20">
        <f t="shared" si="5"/>
        <v>30</v>
      </c>
      <c r="J20" t="str">
        <f t="shared" si="6"/>
        <v>California</v>
      </c>
      <c r="K20" t="str">
        <f t="shared" si="7"/>
        <v>Lake County</v>
      </c>
      <c r="L20">
        <f t="shared" si="8"/>
        <v>30</v>
      </c>
    </row>
    <row r="21" spans="1:12">
      <c r="A21" t="s">
        <v>19</v>
      </c>
      <c r="B21" t="s">
        <v>1426</v>
      </c>
      <c r="C21" s="7">
        <v>1</v>
      </c>
      <c r="D21" s="7">
        <v>26.2</v>
      </c>
      <c r="F21" t="str">
        <f t="shared" si="3"/>
        <v>California</v>
      </c>
      <c r="G21" t="str">
        <f t="shared" si="4"/>
        <v>Lassen County</v>
      </c>
      <c r="H21">
        <f t="shared" si="5"/>
        <v>1</v>
      </c>
      <c r="J21" t="str">
        <f t="shared" si="6"/>
        <v>California</v>
      </c>
      <c r="K21" t="str">
        <f t="shared" si="7"/>
        <v>Lassen County</v>
      </c>
      <c r="L21">
        <f t="shared" si="8"/>
        <v>1</v>
      </c>
    </row>
    <row r="22" spans="1:12">
      <c r="A22" t="s">
        <v>19</v>
      </c>
      <c r="B22" t="s">
        <v>33</v>
      </c>
      <c r="C22" s="7">
        <v>3991</v>
      </c>
      <c r="D22" s="7">
        <v>215551.19999999981</v>
      </c>
      <c r="F22" t="str">
        <f t="shared" si="3"/>
        <v>California</v>
      </c>
      <c r="G22" t="str">
        <f t="shared" si="4"/>
        <v>Los Angeles County</v>
      </c>
      <c r="H22">
        <f t="shared" si="5"/>
        <v>3991</v>
      </c>
      <c r="J22" t="str">
        <f t="shared" si="6"/>
        <v>California</v>
      </c>
      <c r="K22" t="str">
        <f t="shared" si="7"/>
        <v>Los Angeles County</v>
      </c>
      <c r="L22">
        <f t="shared" si="8"/>
        <v>3991</v>
      </c>
    </row>
    <row r="23" spans="1:12">
      <c r="A23" t="s">
        <v>19</v>
      </c>
      <c r="B23" t="s">
        <v>364</v>
      </c>
      <c r="C23" s="7">
        <v>45</v>
      </c>
      <c r="D23" s="7">
        <v>2687.3999999999996</v>
      </c>
      <c r="F23" t="str">
        <f t="shared" si="3"/>
        <v>California</v>
      </c>
      <c r="G23" t="str">
        <f t="shared" si="4"/>
        <v>Madera County</v>
      </c>
      <c r="H23">
        <f t="shared" si="5"/>
        <v>45</v>
      </c>
      <c r="J23" t="str">
        <f t="shared" si="6"/>
        <v>California</v>
      </c>
      <c r="K23" t="str">
        <f t="shared" si="7"/>
        <v>Madera County</v>
      </c>
      <c r="L23">
        <f t="shared" si="8"/>
        <v>45</v>
      </c>
    </row>
    <row r="24" spans="1:12">
      <c r="A24" t="s">
        <v>19</v>
      </c>
      <c r="B24" t="s">
        <v>545</v>
      </c>
      <c r="C24" s="7">
        <v>39</v>
      </c>
      <c r="D24" s="7">
        <v>1463.3000000000002</v>
      </c>
      <c r="F24" t="str">
        <f t="shared" si="3"/>
        <v>California</v>
      </c>
      <c r="G24" t="str">
        <f t="shared" si="4"/>
        <v>Marin County</v>
      </c>
      <c r="H24">
        <f t="shared" si="5"/>
        <v>39</v>
      </c>
      <c r="J24" t="str">
        <f t="shared" si="6"/>
        <v>California</v>
      </c>
      <c r="K24" t="str">
        <f t="shared" si="7"/>
        <v>Marin County</v>
      </c>
      <c r="L24">
        <f t="shared" si="8"/>
        <v>39</v>
      </c>
    </row>
    <row r="25" spans="1:12">
      <c r="A25" t="s">
        <v>19</v>
      </c>
      <c r="B25" t="s">
        <v>416</v>
      </c>
      <c r="C25" s="7">
        <v>6</v>
      </c>
      <c r="D25" s="7">
        <v>445.79999999999995</v>
      </c>
      <c r="F25" t="str">
        <f t="shared" si="3"/>
        <v>California</v>
      </c>
      <c r="G25" t="str">
        <f t="shared" si="4"/>
        <v>Mariposa County</v>
      </c>
      <c r="H25">
        <f t="shared" si="5"/>
        <v>6</v>
      </c>
      <c r="J25" t="str">
        <f t="shared" si="6"/>
        <v>California</v>
      </c>
      <c r="K25" t="str">
        <f t="shared" si="7"/>
        <v>Mariposa County</v>
      </c>
      <c r="L25">
        <f t="shared" si="8"/>
        <v>6</v>
      </c>
    </row>
    <row r="26" spans="1:12">
      <c r="A26" t="s">
        <v>19</v>
      </c>
      <c r="B26" t="s">
        <v>258</v>
      </c>
      <c r="C26" s="7">
        <v>9</v>
      </c>
      <c r="D26" s="7">
        <v>273.59999999999997</v>
      </c>
      <c r="F26" t="str">
        <f t="shared" si="3"/>
        <v>California</v>
      </c>
      <c r="G26" t="str">
        <f t="shared" si="4"/>
        <v>Mendocino County</v>
      </c>
      <c r="H26">
        <f t="shared" si="5"/>
        <v>9</v>
      </c>
      <c r="J26" t="str">
        <f t="shared" si="6"/>
        <v>California</v>
      </c>
      <c r="K26" t="str">
        <f t="shared" si="7"/>
        <v>Mendocino County</v>
      </c>
      <c r="L26">
        <f t="shared" si="8"/>
        <v>9</v>
      </c>
    </row>
    <row r="27" spans="1:12">
      <c r="A27" t="s">
        <v>19</v>
      </c>
      <c r="B27" t="s">
        <v>186</v>
      </c>
      <c r="C27" s="7">
        <v>60</v>
      </c>
      <c r="D27" s="7">
        <v>2690.4</v>
      </c>
      <c r="F27" t="str">
        <f t="shared" si="3"/>
        <v>California</v>
      </c>
      <c r="G27" t="str">
        <f t="shared" si="4"/>
        <v>Merced County</v>
      </c>
      <c r="H27">
        <f t="shared" si="5"/>
        <v>60</v>
      </c>
      <c r="J27" t="str">
        <f t="shared" si="6"/>
        <v>California</v>
      </c>
      <c r="K27" t="str">
        <f t="shared" si="7"/>
        <v>Merced County</v>
      </c>
      <c r="L27">
        <f t="shared" si="8"/>
        <v>60</v>
      </c>
    </row>
    <row r="28" spans="1:12">
      <c r="A28" t="s">
        <v>19</v>
      </c>
      <c r="B28" t="s">
        <v>392</v>
      </c>
      <c r="C28" s="7">
        <v>2</v>
      </c>
      <c r="D28" s="7">
        <v>28.4</v>
      </c>
      <c r="F28" t="str">
        <f t="shared" si="3"/>
        <v>California</v>
      </c>
      <c r="G28" t="str">
        <f t="shared" si="4"/>
        <v>Modoc County</v>
      </c>
      <c r="H28">
        <f t="shared" si="5"/>
        <v>2</v>
      </c>
      <c r="J28" t="str">
        <f t="shared" si="6"/>
        <v>California</v>
      </c>
      <c r="K28" t="str">
        <f t="shared" si="7"/>
        <v>Modoc County</v>
      </c>
      <c r="L28">
        <f t="shared" si="8"/>
        <v>2</v>
      </c>
    </row>
    <row r="29" spans="1:12">
      <c r="A29" t="s">
        <v>19</v>
      </c>
      <c r="B29" t="s">
        <v>670</v>
      </c>
      <c r="C29" s="7">
        <v>4</v>
      </c>
      <c r="D29" s="7">
        <v>204.8</v>
      </c>
      <c r="F29" t="str">
        <f t="shared" si="3"/>
        <v>California</v>
      </c>
      <c r="G29" t="str">
        <f t="shared" si="4"/>
        <v>Mono County</v>
      </c>
      <c r="H29">
        <f t="shared" si="5"/>
        <v>4</v>
      </c>
      <c r="J29" t="str">
        <f t="shared" si="6"/>
        <v>California</v>
      </c>
      <c r="K29" t="str">
        <f t="shared" si="7"/>
        <v>Mono County</v>
      </c>
      <c r="L29">
        <f t="shared" si="8"/>
        <v>4</v>
      </c>
    </row>
    <row r="30" spans="1:12">
      <c r="A30" t="s">
        <v>19</v>
      </c>
      <c r="B30" t="s">
        <v>802</v>
      </c>
      <c r="C30" s="7">
        <v>31</v>
      </c>
      <c r="D30" s="7">
        <v>1607.8999999999999</v>
      </c>
      <c r="F30" t="str">
        <f t="shared" si="3"/>
        <v>California</v>
      </c>
      <c r="G30" t="str">
        <f t="shared" si="4"/>
        <v>Monterey County</v>
      </c>
      <c r="H30">
        <f t="shared" si="5"/>
        <v>31</v>
      </c>
      <c r="J30" t="str">
        <f t="shared" si="6"/>
        <v>California</v>
      </c>
      <c r="K30" t="str">
        <f t="shared" si="7"/>
        <v>Monterey County</v>
      </c>
      <c r="L30">
        <f t="shared" si="8"/>
        <v>31</v>
      </c>
    </row>
    <row r="31" spans="1:12">
      <c r="A31" t="s">
        <v>19</v>
      </c>
      <c r="B31" t="s">
        <v>98</v>
      </c>
      <c r="C31" s="7">
        <v>88</v>
      </c>
      <c r="D31" s="7">
        <v>6444.9</v>
      </c>
      <c r="F31" t="str">
        <f t="shared" si="3"/>
        <v>California</v>
      </c>
      <c r="G31" t="str">
        <f t="shared" si="4"/>
        <v>Napa County</v>
      </c>
      <c r="H31">
        <f t="shared" si="5"/>
        <v>88</v>
      </c>
      <c r="J31" t="str">
        <f t="shared" si="6"/>
        <v>California</v>
      </c>
      <c r="K31" t="str">
        <f t="shared" si="7"/>
        <v>Napa County</v>
      </c>
      <c r="L31">
        <f t="shared" si="8"/>
        <v>88</v>
      </c>
    </row>
    <row r="32" spans="1:12">
      <c r="A32" t="s">
        <v>19</v>
      </c>
      <c r="B32" t="s">
        <v>49</v>
      </c>
      <c r="C32" s="7">
        <v>25</v>
      </c>
      <c r="D32" s="7">
        <v>1809.3</v>
      </c>
      <c r="F32" t="str">
        <f t="shared" si="3"/>
        <v>California</v>
      </c>
      <c r="G32" t="str">
        <f t="shared" si="4"/>
        <v>Nevada County</v>
      </c>
      <c r="H32">
        <f t="shared" si="5"/>
        <v>25</v>
      </c>
      <c r="J32" t="str">
        <f t="shared" si="6"/>
        <v>California</v>
      </c>
      <c r="K32" t="str">
        <f t="shared" si="7"/>
        <v>Nevada County</v>
      </c>
      <c r="L32">
        <f t="shared" si="8"/>
        <v>25</v>
      </c>
    </row>
    <row r="33" spans="1:12">
      <c r="A33" t="s">
        <v>19</v>
      </c>
      <c r="B33" t="s">
        <v>188</v>
      </c>
      <c r="C33" s="7">
        <v>178</v>
      </c>
      <c r="D33" s="7">
        <v>9680.399999999996</v>
      </c>
      <c r="F33" t="str">
        <f t="shared" si="3"/>
        <v>California</v>
      </c>
      <c r="G33" t="str">
        <f t="shared" si="4"/>
        <v>Orange County</v>
      </c>
      <c r="H33">
        <f t="shared" si="5"/>
        <v>178</v>
      </c>
      <c r="J33" t="str">
        <f t="shared" si="6"/>
        <v>California</v>
      </c>
      <c r="K33" t="str">
        <f t="shared" si="7"/>
        <v>Orange County</v>
      </c>
      <c r="L33">
        <f t="shared" si="8"/>
        <v>178</v>
      </c>
    </row>
    <row r="34" spans="1:12">
      <c r="A34" t="s">
        <v>19</v>
      </c>
      <c r="B34" t="s">
        <v>52</v>
      </c>
      <c r="C34" s="7">
        <v>141</v>
      </c>
      <c r="D34" s="7">
        <v>9414.7999999999993</v>
      </c>
      <c r="F34" t="str">
        <f t="shared" si="3"/>
        <v>California</v>
      </c>
      <c r="G34" t="str">
        <f t="shared" si="4"/>
        <v>Placer County</v>
      </c>
      <c r="H34">
        <f t="shared" si="5"/>
        <v>141</v>
      </c>
      <c r="J34" t="str">
        <f t="shared" si="6"/>
        <v>California</v>
      </c>
      <c r="K34" t="str">
        <f t="shared" si="7"/>
        <v>Placer County</v>
      </c>
      <c r="L34">
        <f t="shared" si="8"/>
        <v>141</v>
      </c>
    </row>
    <row r="35" spans="1:12">
      <c r="A35" t="s">
        <v>19</v>
      </c>
      <c r="B35" t="s">
        <v>338</v>
      </c>
      <c r="C35" s="7">
        <v>6</v>
      </c>
      <c r="D35" s="7">
        <v>206.1</v>
      </c>
      <c r="F35" t="str">
        <f t="shared" si="3"/>
        <v>California</v>
      </c>
      <c r="G35" t="str">
        <f t="shared" si="4"/>
        <v>Plumas County</v>
      </c>
      <c r="H35">
        <f t="shared" si="5"/>
        <v>6</v>
      </c>
      <c r="J35" t="str">
        <f t="shared" si="6"/>
        <v>California</v>
      </c>
      <c r="K35" t="str">
        <f t="shared" si="7"/>
        <v>Plumas County</v>
      </c>
      <c r="L35">
        <f t="shared" si="8"/>
        <v>6</v>
      </c>
    </row>
    <row r="36" spans="1:12">
      <c r="A36" t="s">
        <v>19</v>
      </c>
      <c r="B36" t="s">
        <v>158</v>
      </c>
      <c r="C36" s="7">
        <v>178</v>
      </c>
      <c r="D36" s="7">
        <v>7691.3</v>
      </c>
      <c r="F36" t="str">
        <f t="shared" si="3"/>
        <v>California</v>
      </c>
      <c r="G36" t="str">
        <f t="shared" si="4"/>
        <v>Riverside County</v>
      </c>
      <c r="H36">
        <f t="shared" si="5"/>
        <v>178</v>
      </c>
      <c r="J36" t="str">
        <f t="shared" si="6"/>
        <v>California</v>
      </c>
      <c r="K36" t="str">
        <f t="shared" si="7"/>
        <v>Riverside County</v>
      </c>
      <c r="L36">
        <f t="shared" si="8"/>
        <v>178</v>
      </c>
    </row>
    <row r="37" spans="1:12">
      <c r="A37" t="s">
        <v>19</v>
      </c>
      <c r="B37" t="s">
        <v>55</v>
      </c>
      <c r="C37" s="7">
        <v>699</v>
      </c>
      <c r="D37" s="7">
        <v>37784.900000000016</v>
      </c>
      <c r="F37" t="str">
        <f t="shared" si="3"/>
        <v>California</v>
      </c>
      <c r="G37" t="str">
        <f t="shared" si="4"/>
        <v>Sacramento County</v>
      </c>
      <c r="H37">
        <f t="shared" si="5"/>
        <v>699</v>
      </c>
      <c r="J37" t="str">
        <f t="shared" si="6"/>
        <v>California</v>
      </c>
      <c r="K37" t="str">
        <f t="shared" si="7"/>
        <v>Sacramento County</v>
      </c>
      <c r="L37">
        <f t="shared" si="8"/>
        <v>699</v>
      </c>
    </row>
    <row r="38" spans="1:12">
      <c r="A38" t="s">
        <v>19</v>
      </c>
      <c r="B38" t="s">
        <v>342</v>
      </c>
      <c r="C38" s="7">
        <v>23</v>
      </c>
      <c r="D38" s="7">
        <v>1129.7</v>
      </c>
      <c r="F38" t="str">
        <f t="shared" si="3"/>
        <v>California</v>
      </c>
      <c r="G38" t="str">
        <f t="shared" si="4"/>
        <v>San Benito County</v>
      </c>
      <c r="H38">
        <f t="shared" si="5"/>
        <v>23</v>
      </c>
      <c r="J38" t="str">
        <f t="shared" si="6"/>
        <v>California</v>
      </c>
      <c r="K38" t="str">
        <f t="shared" si="7"/>
        <v>San Benito County</v>
      </c>
      <c r="L38">
        <f t="shared" si="8"/>
        <v>23</v>
      </c>
    </row>
    <row r="39" spans="1:12">
      <c r="A39" t="s">
        <v>19</v>
      </c>
      <c r="B39" t="s">
        <v>59</v>
      </c>
      <c r="C39" s="7">
        <v>356</v>
      </c>
      <c r="D39" s="7">
        <v>20988.9</v>
      </c>
      <c r="F39" t="str">
        <f t="shared" si="3"/>
        <v>California</v>
      </c>
      <c r="G39" t="str">
        <f t="shared" si="4"/>
        <v>San Bernardino County</v>
      </c>
      <c r="H39">
        <f t="shared" si="5"/>
        <v>356</v>
      </c>
      <c r="J39" t="str">
        <f t="shared" si="6"/>
        <v>California</v>
      </c>
      <c r="K39" t="str">
        <f t="shared" si="7"/>
        <v>San Bernardino County</v>
      </c>
      <c r="L39">
        <f t="shared" si="8"/>
        <v>356</v>
      </c>
    </row>
    <row r="40" spans="1:12">
      <c r="A40" t="s">
        <v>19</v>
      </c>
      <c r="B40" t="s">
        <v>62</v>
      </c>
      <c r="C40" s="7">
        <v>1768</v>
      </c>
      <c r="D40" s="7">
        <v>98367.099999999977</v>
      </c>
      <c r="F40" t="str">
        <f t="shared" si="3"/>
        <v>California</v>
      </c>
      <c r="G40" t="str">
        <f t="shared" si="4"/>
        <v>San Diego County</v>
      </c>
      <c r="H40">
        <f t="shared" si="5"/>
        <v>1768</v>
      </c>
      <c r="J40" t="str">
        <f t="shared" si="6"/>
        <v>California</v>
      </c>
      <c r="K40" t="str">
        <f t="shared" si="7"/>
        <v>San Diego County</v>
      </c>
      <c r="L40">
        <f t="shared" si="8"/>
        <v>1768</v>
      </c>
    </row>
    <row r="41" spans="1:12">
      <c r="A41" t="s">
        <v>19</v>
      </c>
      <c r="B41" t="s">
        <v>103</v>
      </c>
      <c r="C41" s="7">
        <v>307</v>
      </c>
      <c r="D41" s="7">
        <v>21911.9</v>
      </c>
      <c r="F41" t="str">
        <f t="shared" si="3"/>
        <v>California</v>
      </c>
      <c r="G41" t="str">
        <f t="shared" si="4"/>
        <v>San Francisco</v>
      </c>
      <c r="H41">
        <f t="shared" si="5"/>
        <v>307</v>
      </c>
      <c r="J41" t="str">
        <f t="shared" si="6"/>
        <v>California</v>
      </c>
      <c r="K41" t="str">
        <f t="shared" si="7"/>
        <v>San Francisco</v>
      </c>
      <c r="L41">
        <f t="shared" si="8"/>
        <v>307</v>
      </c>
    </row>
    <row r="42" spans="1:12">
      <c r="A42" t="s">
        <v>19</v>
      </c>
      <c r="B42" t="s">
        <v>201</v>
      </c>
      <c r="C42" s="7">
        <v>117</v>
      </c>
      <c r="D42" s="7">
        <v>5441.2</v>
      </c>
      <c r="F42" t="str">
        <f t="shared" si="3"/>
        <v>California</v>
      </c>
      <c r="G42" t="str">
        <f t="shared" si="4"/>
        <v>San Joaquin County</v>
      </c>
      <c r="H42">
        <f t="shared" si="5"/>
        <v>117</v>
      </c>
      <c r="J42" t="str">
        <f t="shared" si="6"/>
        <v>California</v>
      </c>
      <c r="K42" t="str">
        <f t="shared" si="7"/>
        <v>San Joaquin County</v>
      </c>
      <c r="L42">
        <f t="shared" si="8"/>
        <v>117</v>
      </c>
    </row>
    <row r="43" spans="1:12">
      <c r="A43" t="s">
        <v>19</v>
      </c>
      <c r="B43" t="s">
        <v>429</v>
      </c>
      <c r="C43" s="7">
        <v>13</v>
      </c>
      <c r="D43" s="7">
        <v>392.8</v>
      </c>
      <c r="F43" t="str">
        <f t="shared" si="3"/>
        <v>California</v>
      </c>
      <c r="G43" t="str">
        <f t="shared" si="4"/>
        <v>San Luis Obispo County</v>
      </c>
      <c r="H43">
        <f t="shared" si="5"/>
        <v>13</v>
      </c>
      <c r="J43" t="str">
        <f t="shared" si="6"/>
        <v>California</v>
      </c>
      <c r="K43" t="str">
        <f t="shared" si="7"/>
        <v>San Luis Obispo County</v>
      </c>
      <c r="L43">
        <f t="shared" si="8"/>
        <v>13</v>
      </c>
    </row>
    <row r="44" spans="1:12">
      <c r="A44" t="s">
        <v>19</v>
      </c>
      <c r="B44" t="s">
        <v>72</v>
      </c>
      <c r="C44" s="7">
        <v>364</v>
      </c>
      <c r="D44" s="7">
        <v>16172.000000000005</v>
      </c>
      <c r="F44" t="str">
        <f t="shared" si="3"/>
        <v>California</v>
      </c>
      <c r="G44" t="str">
        <f t="shared" si="4"/>
        <v>San Mateo County</v>
      </c>
      <c r="H44">
        <f t="shared" si="5"/>
        <v>364</v>
      </c>
      <c r="J44" t="str">
        <f t="shared" si="6"/>
        <v>California</v>
      </c>
      <c r="K44" t="str">
        <f t="shared" si="7"/>
        <v>San Mateo County</v>
      </c>
      <c r="L44">
        <f t="shared" si="8"/>
        <v>364</v>
      </c>
    </row>
    <row r="45" spans="1:12">
      <c r="A45" t="s">
        <v>19</v>
      </c>
      <c r="B45" t="s">
        <v>74</v>
      </c>
      <c r="C45" s="7">
        <v>95</v>
      </c>
      <c r="D45" s="7">
        <v>4334.9999999999991</v>
      </c>
      <c r="F45" t="str">
        <f t="shared" si="3"/>
        <v>California</v>
      </c>
      <c r="G45" t="str">
        <f t="shared" si="4"/>
        <v>Santa Barbara County</v>
      </c>
      <c r="H45">
        <f t="shared" si="5"/>
        <v>95</v>
      </c>
      <c r="J45" t="str">
        <f t="shared" si="6"/>
        <v>California</v>
      </c>
      <c r="K45" t="str">
        <f t="shared" si="7"/>
        <v>Santa Barbara County</v>
      </c>
      <c r="L45">
        <f t="shared" si="8"/>
        <v>95</v>
      </c>
    </row>
    <row r="46" spans="1:12">
      <c r="A46" t="s">
        <v>19</v>
      </c>
      <c r="B46" t="s">
        <v>77</v>
      </c>
      <c r="C46" s="7">
        <v>737</v>
      </c>
      <c r="D46" s="7">
        <v>37449.000000000007</v>
      </c>
      <c r="F46" t="str">
        <f t="shared" si="3"/>
        <v>California</v>
      </c>
      <c r="G46" t="str">
        <f t="shared" si="4"/>
        <v>Santa Clara County</v>
      </c>
      <c r="H46">
        <f t="shared" si="5"/>
        <v>737</v>
      </c>
      <c r="J46" t="str">
        <f t="shared" si="6"/>
        <v>California</v>
      </c>
      <c r="K46" t="str">
        <f t="shared" si="7"/>
        <v>Santa Clara County</v>
      </c>
      <c r="L46">
        <f t="shared" si="8"/>
        <v>737</v>
      </c>
    </row>
    <row r="47" spans="1:12">
      <c r="A47" t="s">
        <v>19</v>
      </c>
      <c r="B47" t="s">
        <v>309</v>
      </c>
      <c r="C47" s="7">
        <v>39</v>
      </c>
      <c r="D47" s="7">
        <v>2447.5</v>
      </c>
      <c r="F47" t="str">
        <f t="shared" si="3"/>
        <v>California</v>
      </c>
      <c r="G47" t="str">
        <f t="shared" si="4"/>
        <v>Santa Cruz County</v>
      </c>
      <c r="H47">
        <f t="shared" si="5"/>
        <v>39</v>
      </c>
      <c r="J47" t="str">
        <f t="shared" si="6"/>
        <v>California</v>
      </c>
      <c r="K47" t="str">
        <f t="shared" si="7"/>
        <v>Santa Cruz County</v>
      </c>
      <c r="L47">
        <f t="shared" si="8"/>
        <v>39</v>
      </c>
    </row>
    <row r="48" spans="1:12">
      <c r="A48" t="s">
        <v>19</v>
      </c>
      <c r="B48" t="s">
        <v>1116</v>
      </c>
      <c r="C48" s="7">
        <v>56</v>
      </c>
      <c r="D48" s="7">
        <v>3391.1</v>
      </c>
      <c r="F48" t="str">
        <f t="shared" si="3"/>
        <v>California</v>
      </c>
      <c r="G48" t="str">
        <f t="shared" si="4"/>
        <v>Shasta County</v>
      </c>
      <c r="H48">
        <f t="shared" si="5"/>
        <v>56</v>
      </c>
      <c r="J48" t="str">
        <f t="shared" si="6"/>
        <v>California</v>
      </c>
      <c r="K48" t="str">
        <f t="shared" si="7"/>
        <v>Shasta County</v>
      </c>
      <c r="L48">
        <f t="shared" si="8"/>
        <v>56</v>
      </c>
    </row>
    <row r="49" spans="1:12">
      <c r="A49" t="s">
        <v>19</v>
      </c>
      <c r="B49" t="s">
        <v>700</v>
      </c>
      <c r="C49" s="7">
        <v>2</v>
      </c>
      <c r="D49" s="7">
        <v>30.8</v>
      </c>
      <c r="F49" t="str">
        <f t="shared" si="3"/>
        <v>California</v>
      </c>
      <c r="G49" t="str">
        <f t="shared" si="4"/>
        <v>Sierra County</v>
      </c>
      <c r="H49">
        <f t="shared" si="5"/>
        <v>2</v>
      </c>
      <c r="J49" t="str">
        <f t="shared" si="6"/>
        <v>California</v>
      </c>
      <c r="K49" t="str">
        <f t="shared" si="7"/>
        <v>Sierra County</v>
      </c>
      <c r="L49">
        <f t="shared" si="8"/>
        <v>2</v>
      </c>
    </row>
    <row r="50" spans="1:12">
      <c r="A50" t="s">
        <v>19</v>
      </c>
      <c r="B50" t="s">
        <v>268</v>
      </c>
      <c r="C50" s="7">
        <v>8</v>
      </c>
      <c r="D50" s="7">
        <v>332.3</v>
      </c>
      <c r="F50" t="str">
        <f t="shared" si="3"/>
        <v>California</v>
      </c>
      <c r="G50" t="str">
        <f t="shared" si="4"/>
        <v>Siskiyou County</v>
      </c>
      <c r="H50">
        <f t="shared" si="5"/>
        <v>8</v>
      </c>
      <c r="J50" t="str">
        <f t="shared" si="6"/>
        <v>California</v>
      </c>
      <c r="K50" t="str">
        <f t="shared" si="7"/>
        <v>Siskiyou County</v>
      </c>
      <c r="L50">
        <f t="shared" si="8"/>
        <v>8</v>
      </c>
    </row>
    <row r="51" spans="1:12">
      <c r="A51" t="s">
        <v>19</v>
      </c>
      <c r="B51" t="s">
        <v>377</v>
      </c>
      <c r="C51" s="7">
        <v>52</v>
      </c>
      <c r="D51" s="7">
        <v>3175.9999999999995</v>
      </c>
      <c r="F51" t="str">
        <f t="shared" si="3"/>
        <v>California</v>
      </c>
      <c r="G51" t="str">
        <f t="shared" si="4"/>
        <v>Solano County</v>
      </c>
      <c r="H51">
        <f t="shared" si="5"/>
        <v>52</v>
      </c>
      <c r="J51" t="str">
        <f t="shared" si="6"/>
        <v>California</v>
      </c>
      <c r="K51" t="str">
        <f t="shared" si="7"/>
        <v>Solano County</v>
      </c>
      <c r="L51">
        <f t="shared" si="8"/>
        <v>52</v>
      </c>
    </row>
    <row r="52" spans="1:12">
      <c r="A52" t="s">
        <v>19</v>
      </c>
      <c r="B52" t="s">
        <v>108</v>
      </c>
      <c r="C52" s="7">
        <v>295</v>
      </c>
      <c r="D52" s="7">
        <v>20939.600000000002</v>
      </c>
      <c r="F52" t="str">
        <f t="shared" si="3"/>
        <v>California</v>
      </c>
      <c r="G52" t="str">
        <f t="shared" si="4"/>
        <v>Sonoma County</v>
      </c>
      <c r="H52">
        <f t="shared" si="5"/>
        <v>295</v>
      </c>
      <c r="J52" t="str">
        <f t="shared" si="6"/>
        <v>California</v>
      </c>
      <c r="K52" t="str">
        <f t="shared" si="7"/>
        <v>Sonoma County</v>
      </c>
      <c r="L52">
        <f t="shared" si="8"/>
        <v>295</v>
      </c>
    </row>
    <row r="53" spans="1:12">
      <c r="A53" t="s">
        <v>19</v>
      </c>
      <c r="B53" t="s">
        <v>110</v>
      </c>
      <c r="C53" s="7">
        <v>195</v>
      </c>
      <c r="D53" s="7">
        <v>10185.899999999996</v>
      </c>
      <c r="F53" t="str">
        <f t="shared" si="3"/>
        <v>California</v>
      </c>
      <c r="G53" t="str">
        <f t="shared" si="4"/>
        <v>Stanislaus County</v>
      </c>
      <c r="H53">
        <f t="shared" si="5"/>
        <v>195</v>
      </c>
      <c r="J53" t="str">
        <f t="shared" si="6"/>
        <v>California</v>
      </c>
      <c r="K53" t="str">
        <f t="shared" si="7"/>
        <v>Stanislaus County</v>
      </c>
      <c r="L53">
        <f t="shared" si="8"/>
        <v>195</v>
      </c>
    </row>
    <row r="54" spans="1:12">
      <c r="A54" t="s">
        <v>19</v>
      </c>
      <c r="B54" t="s">
        <v>292</v>
      </c>
      <c r="C54" s="7">
        <v>20</v>
      </c>
      <c r="D54" s="7">
        <v>958.7</v>
      </c>
      <c r="F54" t="str">
        <f t="shared" si="3"/>
        <v>California</v>
      </c>
      <c r="G54" t="str">
        <f t="shared" si="4"/>
        <v>Sutter County</v>
      </c>
      <c r="H54">
        <f t="shared" si="5"/>
        <v>20</v>
      </c>
      <c r="J54" t="str">
        <f t="shared" si="6"/>
        <v>California</v>
      </c>
      <c r="K54" t="str">
        <f t="shared" si="7"/>
        <v>Sutter County</v>
      </c>
      <c r="L54">
        <f t="shared" si="8"/>
        <v>20</v>
      </c>
    </row>
    <row r="55" spans="1:12">
      <c r="A55" t="s">
        <v>19</v>
      </c>
      <c r="B55" t="s">
        <v>79</v>
      </c>
      <c r="C55" s="7">
        <v>6</v>
      </c>
      <c r="D55" s="7">
        <v>323</v>
      </c>
      <c r="F55" t="str">
        <f t="shared" si="3"/>
        <v>California</v>
      </c>
      <c r="G55" t="str">
        <f t="shared" si="4"/>
        <v>Tehama County</v>
      </c>
      <c r="H55">
        <f t="shared" si="5"/>
        <v>6</v>
      </c>
      <c r="J55" t="str">
        <f t="shared" si="6"/>
        <v>California</v>
      </c>
      <c r="K55" t="str">
        <f t="shared" si="7"/>
        <v>Tehama County</v>
      </c>
      <c r="L55">
        <f t="shared" si="8"/>
        <v>6</v>
      </c>
    </row>
    <row r="56" spans="1:12">
      <c r="A56" t="s">
        <v>19</v>
      </c>
      <c r="B56" t="s">
        <v>608</v>
      </c>
      <c r="C56" s="7">
        <v>5</v>
      </c>
      <c r="D56" s="7">
        <v>167.70000000000002</v>
      </c>
      <c r="F56" t="str">
        <f t="shared" si="3"/>
        <v>California</v>
      </c>
      <c r="G56" t="str">
        <f t="shared" si="4"/>
        <v>Trinity County</v>
      </c>
      <c r="H56">
        <f t="shared" si="5"/>
        <v>5</v>
      </c>
      <c r="J56" t="str">
        <f t="shared" si="6"/>
        <v>California</v>
      </c>
      <c r="K56" t="str">
        <f t="shared" si="7"/>
        <v>Trinity County</v>
      </c>
      <c r="L56">
        <f t="shared" si="8"/>
        <v>5</v>
      </c>
    </row>
    <row r="57" spans="1:12">
      <c r="A57" t="s">
        <v>19</v>
      </c>
      <c r="B57" t="s">
        <v>113</v>
      </c>
      <c r="C57" s="7">
        <v>94</v>
      </c>
      <c r="D57" s="7">
        <v>3978.5</v>
      </c>
      <c r="F57" t="str">
        <f t="shared" si="3"/>
        <v>California</v>
      </c>
      <c r="G57" t="str">
        <f t="shared" si="4"/>
        <v>Tulare County</v>
      </c>
      <c r="H57">
        <f t="shared" si="5"/>
        <v>94</v>
      </c>
      <c r="J57" t="str">
        <f t="shared" si="6"/>
        <v>California</v>
      </c>
      <c r="K57" t="str">
        <f t="shared" si="7"/>
        <v>Tulare County</v>
      </c>
      <c r="L57">
        <f t="shared" si="8"/>
        <v>94</v>
      </c>
    </row>
    <row r="58" spans="1:12">
      <c r="A58" t="s">
        <v>19</v>
      </c>
      <c r="B58" t="s">
        <v>997</v>
      </c>
      <c r="C58" s="7">
        <v>28</v>
      </c>
      <c r="D58" s="7">
        <v>1405</v>
      </c>
      <c r="F58" t="str">
        <f t="shared" si="3"/>
        <v>California</v>
      </c>
      <c r="G58" t="str">
        <f t="shared" si="4"/>
        <v>Tuolumne County</v>
      </c>
      <c r="H58">
        <f t="shared" si="5"/>
        <v>28</v>
      </c>
      <c r="J58" t="str">
        <f t="shared" si="6"/>
        <v>California</v>
      </c>
      <c r="K58" t="str">
        <f t="shared" si="7"/>
        <v>Tuolumne County</v>
      </c>
      <c r="L58">
        <f t="shared" si="8"/>
        <v>28</v>
      </c>
    </row>
    <row r="59" spans="1:12">
      <c r="A59" t="s">
        <v>19</v>
      </c>
      <c r="B59" t="s">
        <v>82</v>
      </c>
      <c r="C59" s="7">
        <v>179</v>
      </c>
      <c r="D59" s="7">
        <v>9869.0999999999985</v>
      </c>
      <c r="F59" t="str">
        <f t="shared" si="3"/>
        <v>California</v>
      </c>
      <c r="G59" t="str">
        <f t="shared" si="4"/>
        <v>Ventura County</v>
      </c>
      <c r="H59">
        <f t="shared" si="5"/>
        <v>179</v>
      </c>
      <c r="J59" t="str">
        <f t="shared" si="6"/>
        <v>California</v>
      </c>
      <c r="K59" t="str">
        <f t="shared" si="7"/>
        <v>Ventura County</v>
      </c>
      <c r="L59">
        <f t="shared" si="8"/>
        <v>179</v>
      </c>
    </row>
    <row r="60" spans="1:12">
      <c r="A60" t="s">
        <v>19</v>
      </c>
      <c r="B60" t="s">
        <v>243</v>
      </c>
      <c r="C60" s="7">
        <v>15</v>
      </c>
      <c r="D60" s="7">
        <v>615.29999999999995</v>
      </c>
      <c r="F60" t="str">
        <f t="shared" si="3"/>
        <v>California</v>
      </c>
      <c r="G60" t="str">
        <f t="shared" si="4"/>
        <v>Yolo County</v>
      </c>
      <c r="H60">
        <f t="shared" si="5"/>
        <v>15</v>
      </c>
      <c r="J60" t="str">
        <f t="shared" si="6"/>
        <v>California</v>
      </c>
      <c r="K60" t="str">
        <f t="shared" si="7"/>
        <v>Yolo County</v>
      </c>
      <c r="L60">
        <f t="shared" si="8"/>
        <v>15</v>
      </c>
    </row>
    <row r="61" spans="1:12">
      <c r="A61" t="s">
        <v>19</v>
      </c>
      <c r="B61" t="s">
        <v>1911</v>
      </c>
      <c r="C61" s="7">
        <v>3</v>
      </c>
      <c r="D61" s="7">
        <v>285</v>
      </c>
      <c r="F61" t="str">
        <f t="shared" si="3"/>
        <v>California</v>
      </c>
      <c r="G61" t="str">
        <f t="shared" si="4"/>
        <v>Yuba County</v>
      </c>
      <c r="H61">
        <f t="shared" si="5"/>
        <v>3</v>
      </c>
      <c r="J61" t="str">
        <f t="shared" si="6"/>
        <v>California</v>
      </c>
      <c r="K61" t="str">
        <f t="shared" si="7"/>
        <v>Yuba County</v>
      </c>
      <c r="L61">
        <f t="shared" si="8"/>
        <v>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E7F4-9A6B-4AF6-A85D-9B386F150D14}">
  <dimension ref="A3:B19"/>
  <sheetViews>
    <sheetView workbookViewId="0">
      <selection activeCell="B8" sqref="B8"/>
    </sheetView>
  </sheetViews>
  <sheetFormatPr defaultRowHeight="13.8"/>
  <cols>
    <col min="1" max="1" width="13.09765625" bestFit="1" customWidth="1"/>
    <col min="2" max="2" width="13.5" bestFit="1" customWidth="1"/>
  </cols>
  <sheetData>
    <row r="3" spans="1:2">
      <c r="A3" s="5" t="s">
        <v>2519</v>
      </c>
      <c r="B3" t="s">
        <v>2521</v>
      </c>
    </row>
    <row r="4" spans="1:2">
      <c r="A4" s="6">
        <v>0</v>
      </c>
      <c r="B4" s="7">
        <v>175</v>
      </c>
    </row>
    <row r="5" spans="1:2">
      <c r="A5" s="6">
        <v>1</v>
      </c>
      <c r="B5" s="7">
        <v>888</v>
      </c>
    </row>
    <row r="6" spans="1:2">
      <c r="A6" s="6">
        <v>2</v>
      </c>
      <c r="B6" s="7">
        <v>538</v>
      </c>
    </row>
    <row r="7" spans="1:2">
      <c r="A7" s="6">
        <v>3</v>
      </c>
      <c r="B7" s="7">
        <v>344</v>
      </c>
    </row>
    <row r="8" spans="1:2">
      <c r="A8" s="6">
        <v>4</v>
      </c>
      <c r="B8" s="7">
        <v>200</v>
      </c>
    </row>
    <row r="9" spans="1:2">
      <c r="A9" s="6">
        <v>5</v>
      </c>
      <c r="B9" s="7">
        <v>94</v>
      </c>
    </row>
    <row r="10" spans="1:2">
      <c r="A10" s="6">
        <v>6</v>
      </c>
      <c r="B10" s="7">
        <v>51</v>
      </c>
    </row>
    <row r="11" spans="1:2">
      <c r="A11" s="6">
        <v>7</v>
      </c>
      <c r="B11" s="7">
        <v>32</v>
      </c>
    </row>
    <row r="12" spans="1:2">
      <c r="A12" s="6">
        <v>8</v>
      </c>
      <c r="B12" s="7">
        <v>23</v>
      </c>
    </row>
    <row r="13" spans="1:2">
      <c r="A13" s="6">
        <v>9</v>
      </c>
      <c r="B13" s="7">
        <v>9</v>
      </c>
    </row>
    <row r="14" spans="1:2">
      <c r="A14" s="6">
        <v>10</v>
      </c>
      <c r="B14" s="7">
        <v>8</v>
      </c>
    </row>
    <row r="15" spans="1:2">
      <c r="A15" s="6">
        <v>11</v>
      </c>
      <c r="B15" s="7">
        <v>11</v>
      </c>
    </row>
    <row r="16" spans="1:2">
      <c r="A16" s="6">
        <v>12</v>
      </c>
      <c r="B16" s="7">
        <v>4</v>
      </c>
    </row>
    <row r="17" spans="1:2">
      <c r="A17" s="6">
        <v>13</v>
      </c>
      <c r="B17" s="7">
        <v>10</v>
      </c>
    </row>
    <row r="18" spans="1:2">
      <c r="A18" s="6">
        <v>14</v>
      </c>
      <c r="B18" s="7">
        <v>13</v>
      </c>
    </row>
    <row r="19" spans="1:2">
      <c r="A19" s="6" t="s">
        <v>2520</v>
      </c>
      <c r="B19" s="7">
        <v>2400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0798-1A1D-453D-A093-A91B2222A886}">
  <dimension ref="A3:G8"/>
  <sheetViews>
    <sheetView workbookViewId="0">
      <selection activeCell="E12" sqref="E12"/>
    </sheetView>
  </sheetViews>
  <sheetFormatPr defaultRowHeight="13.8"/>
  <cols>
    <col min="1" max="1" width="13.5" bestFit="1" customWidth="1"/>
    <col min="2" max="2" width="16.09765625" bestFit="1" customWidth="1"/>
    <col min="3" max="4" width="3.8984375" bestFit="1" customWidth="1"/>
    <col min="5" max="5" width="4.8984375" bestFit="1" customWidth="1"/>
    <col min="6" max="6" width="3.8984375" bestFit="1" customWidth="1"/>
    <col min="7" max="7" width="11" bestFit="1" customWidth="1"/>
    <col min="8" max="32" width="6.59765625" bestFit="1" customWidth="1"/>
    <col min="33" max="33" width="8.796875" bestFit="1" customWidth="1"/>
    <col min="34" max="61" width="6.796875" bestFit="1" customWidth="1"/>
    <col min="62" max="62" width="9" bestFit="1" customWidth="1"/>
    <col min="63" max="91" width="6.69921875" bestFit="1" customWidth="1"/>
    <col min="92" max="92" width="8.8984375" bestFit="1" customWidth="1"/>
    <col min="93" max="93" width="11" bestFit="1" customWidth="1"/>
  </cols>
  <sheetData>
    <row r="3" spans="1:7">
      <c r="A3" s="5" t="s">
        <v>2521</v>
      </c>
      <c r="B3" s="5" t="s">
        <v>2529</v>
      </c>
    </row>
    <row r="4" spans="1:7">
      <c r="A4" s="5" t="s">
        <v>2519</v>
      </c>
      <c r="B4">
        <v>1</v>
      </c>
      <c r="C4">
        <v>2</v>
      </c>
      <c r="D4">
        <v>3</v>
      </c>
      <c r="E4">
        <v>4</v>
      </c>
      <c r="F4">
        <v>5</v>
      </c>
      <c r="G4" t="s">
        <v>2520</v>
      </c>
    </row>
    <row r="5" spans="1:7">
      <c r="A5" s="6" t="s">
        <v>2539</v>
      </c>
      <c r="B5" s="7">
        <v>7</v>
      </c>
      <c r="C5" s="7">
        <v>37</v>
      </c>
      <c r="D5" s="7">
        <v>150</v>
      </c>
      <c r="E5" s="7">
        <v>312</v>
      </c>
      <c r="F5" s="7">
        <v>224</v>
      </c>
      <c r="G5" s="7">
        <v>730</v>
      </c>
    </row>
    <row r="6" spans="1:7">
      <c r="A6" s="6" t="s">
        <v>2540</v>
      </c>
      <c r="B6" s="7">
        <v>8</v>
      </c>
      <c r="C6" s="7">
        <v>51</v>
      </c>
      <c r="D6" s="7">
        <v>182</v>
      </c>
      <c r="E6" s="7">
        <v>373</v>
      </c>
      <c r="F6" s="7">
        <v>247</v>
      </c>
      <c r="G6" s="7">
        <v>861</v>
      </c>
    </row>
    <row r="7" spans="1:7">
      <c r="A7" s="6" t="s">
        <v>2541</v>
      </c>
      <c r="B7" s="7">
        <v>6</v>
      </c>
      <c r="C7" s="7">
        <v>39</v>
      </c>
      <c r="D7" s="7">
        <v>163</v>
      </c>
      <c r="E7" s="7">
        <v>351</v>
      </c>
      <c r="F7" s="7">
        <v>250</v>
      </c>
      <c r="G7" s="7">
        <v>809</v>
      </c>
    </row>
    <row r="8" spans="1:7">
      <c r="A8" s="6" t="s">
        <v>2520</v>
      </c>
      <c r="B8" s="7">
        <v>21</v>
      </c>
      <c r="C8" s="7">
        <v>127</v>
      </c>
      <c r="D8" s="7">
        <v>495</v>
      </c>
      <c r="E8" s="7">
        <v>1036</v>
      </c>
      <c r="F8" s="7">
        <v>721</v>
      </c>
      <c r="G8" s="7">
        <v>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58" workbookViewId="0">
      <selection activeCell="AB1" sqref="AB1"/>
    </sheetView>
  </sheetViews>
  <sheetFormatPr defaultRowHeight="13.8"/>
  <cols>
    <col min="1" max="1" width="3.296875" customWidth="1"/>
    <col min="2" max="2" width="22.19921875" customWidth="1"/>
    <col min="3" max="4" width="3.296875" customWidth="1"/>
    <col min="26" max="26" width="3.29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Questions &amp; KPIs</vt:lpstr>
      <vt:lpstr>Sheet1</vt:lpstr>
      <vt:lpstr>Sheet2</vt:lpstr>
      <vt:lpstr>Sheet3</vt:lpstr>
      <vt:lpstr>Sheet4</vt:lpstr>
      <vt:lpstr>Sheet5</vt:lpstr>
      <vt:lpstr>Sheet6</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Mohamed Rasith Hussain</cp:lastModifiedBy>
  <dcterms:created xsi:type="dcterms:W3CDTF">2025-06-13T02:42:26Z</dcterms:created>
  <dcterms:modified xsi:type="dcterms:W3CDTF">2025-11-16T09:57:15Z</dcterms:modified>
</cp:coreProperties>
</file>